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0" yWindow="240" windowWidth="13005" windowHeight="9645"/>
  </bookViews>
  <sheets>
    <sheet name="bird_properties" sheetId="1" r:id="rId1"/>
  </sheets>
  <calcPr calcId="145621"/>
  <fileRecoveryPr repairLoad="1"/>
</workbook>
</file>

<file path=xl/calcChain.xml><?xml version="1.0" encoding="utf-8"?>
<calcChain xmlns="http://schemas.openxmlformats.org/spreadsheetml/2006/main">
  <c r="AC35" i="1" l="1"/>
  <c r="AC36" i="1" l="1"/>
  <c r="AC16" i="1"/>
  <c r="AC17" i="1" s="1"/>
  <c r="AC29" i="1"/>
  <c r="AC23" i="1"/>
  <c r="AC20" i="1"/>
  <c r="AC19" i="1"/>
  <c r="AC18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R21" i="1"/>
  <c r="W36" i="1"/>
  <c r="V36" i="1"/>
  <c r="U36" i="1"/>
  <c r="S36" i="1"/>
  <c r="R36" i="1"/>
  <c r="S35" i="1"/>
  <c r="R27" i="1"/>
  <c r="R26" i="1"/>
  <c r="Z26" i="1"/>
  <c r="AC21" i="1" l="1"/>
  <c r="AC22" i="1" s="1"/>
  <c r="AC24" i="1" s="1"/>
  <c r="AC25" i="1" s="1"/>
  <c r="AC26" i="1" s="1"/>
  <c r="AC28" i="1" s="1"/>
  <c r="AC30" i="1" s="1"/>
  <c r="AC31" i="1" s="1"/>
  <c r="AC32" i="1" s="1"/>
  <c r="AC33" i="1" s="1"/>
  <c r="AC34" i="1" s="1"/>
  <c r="S34" i="1"/>
  <c r="R35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Z2" i="1"/>
  <c r="Z10" i="1"/>
  <c r="Z18" i="1"/>
  <c r="Z34" i="1"/>
  <c r="Z19" i="1"/>
  <c r="Z35" i="1"/>
  <c r="Z3" i="1"/>
  <c r="Z11" i="1"/>
  <c r="Z27" i="1"/>
  <c r="Z4" i="1"/>
  <c r="Z12" i="1"/>
  <c r="Z20" i="1"/>
  <c r="Z28" i="1"/>
  <c r="Z36" i="1"/>
  <c r="Z6" i="1"/>
  <c r="Z14" i="1"/>
  <c r="Z30" i="1"/>
  <c r="Z7" i="1"/>
  <c r="Z23" i="1"/>
  <c r="Z8" i="1"/>
  <c r="Z24" i="1"/>
  <c r="Z9" i="1"/>
  <c r="Z25" i="1"/>
  <c r="Z5" i="1"/>
  <c r="Z13" i="1"/>
  <c r="Z21" i="1"/>
  <c r="Z29" i="1"/>
  <c r="Z22" i="1"/>
  <c r="Z15" i="1"/>
  <c r="Z31" i="1"/>
  <c r="Z16" i="1"/>
  <c r="Z32" i="1"/>
  <c r="Z17" i="1"/>
  <c r="Z33" i="1"/>
  <c r="S2" i="1"/>
  <c r="T2" i="1"/>
  <c r="V2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W2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U2" i="1"/>
  <c r="R2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R34" i="1"/>
  <c r="R33" i="1"/>
  <c r="R32" i="1"/>
  <c r="R31" i="1"/>
  <c r="R30" i="1"/>
  <c r="R29" i="1"/>
  <c r="R28" i="1"/>
  <c r="R25" i="1"/>
  <c r="R24" i="1"/>
  <c r="R23" i="1"/>
  <c r="R22" i="1"/>
  <c r="R20" i="1"/>
  <c r="R19" i="1"/>
  <c r="R18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</calcChain>
</file>

<file path=xl/comments1.xml><?xml version="1.0" encoding="utf-8"?>
<comments xmlns="http://schemas.openxmlformats.org/spreadsheetml/2006/main">
  <authors>
    <author>Robin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rough estimate from looking at van den Berg and Rayner's inertia table to similar birds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rough estimate from looking at van den Berg and Rayner's inertia table to similar birds
</t>
        </r>
      </text>
    </comment>
    <comment ref="AC2" authorId="0">
      <text>
        <r>
          <rPr>
            <b/>
            <sz val="9"/>
            <color indexed="81"/>
            <rFont val="Tahoma"/>
            <charset val="1"/>
          </rPr>
          <t>Robin:</t>
        </r>
        <r>
          <rPr>
            <sz val="9"/>
            <color indexed="81"/>
            <rFont val="Tahoma"/>
            <charset val="1"/>
          </rPr>
          <t xml:space="preserve">
friction drag is currently not dependent upon wing retraction or forward speed. For now, the friction drag is relative to the Peregrine falcon, and recalculated for another wing span
</t>
        </r>
      </text>
    </comment>
    <comment ref="AD2" authorId="0">
      <text>
        <r>
          <rPr>
            <b/>
            <sz val="9"/>
            <color indexed="81"/>
            <rFont val="Tahoma"/>
            <charset val="1"/>
          </rPr>
          <t>Robin:</t>
        </r>
        <r>
          <rPr>
            <sz val="9"/>
            <color indexed="81"/>
            <rFont val="Tahoma"/>
            <charset val="1"/>
          </rPr>
          <t xml:space="preserve">
From Tucker, V. a. (2000). Gliding flight: drag and torque of a hawk and a falcon with straight and turned heads, and a lower value for the parasite drag coefficient. The Journal of Experimental Biology, 203(Pt 24), 3733–3744.</t>
        </r>
      </text>
    </comment>
    <comment ref="F1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1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1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1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1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F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F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F2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2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3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4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5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6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7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Hedenström, a, &amp; Liechti, F. (2001). Field estimates of body drag coefficient on the basis of dives in passerine birds. The Journal of Experimental Biology, 204(Pt 6), 1167–1175.</t>
        </r>
      </text>
    </comment>
    <comment ref="F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8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8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29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29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0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0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1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1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2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2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3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3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4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4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  <comment ref="F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needs checking. The Rayner measure was way too light
</t>
        </r>
      </text>
    </comment>
    <comment ref="G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needs checking. The Rayner measure was way too light
</t>
        </r>
      </text>
    </comment>
    <comment ref="L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5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F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G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L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M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N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O36" authorId="0">
      <text>
        <r>
          <rPr>
            <b/>
            <sz val="9"/>
            <color indexed="81"/>
            <rFont val="Tahoma"/>
            <family val="2"/>
          </rPr>
          <t>Robin:</t>
        </r>
        <r>
          <rPr>
            <sz val="9"/>
            <color indexed="81"/>
            <rFont val="Tahoma"/>
            <family val="2"/>
          </rPr>
          <t xml:space="preserve">
From Berg, C., &amp; Rayner, J. (1995). The moment of inertia of bird wings and the inertial power requirement for flapping flight. The Journal of Experimental Biology, 198(Pt 8), 1655–64. 
No differentiations male female</t>
        </r>
      </text>
    </comment>
    <comment ref="AD36" authorId="0">
      <text>
        <r>
          <rPr>
            <b/>
            <sz val="9"/>
            <color indexed="81"/>
            <rFont val="Tahoma"/>
            <charset val="1"/>
          </rPr>
          <t>Robin:
estimated for a pigeon in :</t>
        </r>
        <r>
          <rPr>
            <sz val="9"/>
            <color indexed="81"/>
            <rFont val="Tahoma"/>
            <charset val="1"/>
          </rPr>
          <t xml:space="preserve">
Pennycuick, C. (1968). A wind-tunnel study of gliding flight in the pigeon Columba livia. Journal of Experimental Biology, 49, 509–526.</t>
        </r>
      </text>
    </comment>
  </commentList>
</comments>
</file>

<file path=xl/sharedStrings.xml><?xml version="1.0" encoding="utf-8"?>
<sst xmlns="http://schemas.openxmlformats.org/spreadsheetml/2006/main" count="177" uniqueCount="147">
  <si>
    <t>ID</t>
  </si>
  <si>
    <t>Species(eng)</t>
  </si>
  <si>
    <t>Species(nl)</t>
  </si>
  <si>
    <t>Species(sci)</t>
  </si>
  <si>
    <t>Predator</t>
  </si>
  <si>
    <t>body mass male</t>
  </si>
  <si>
    <t>body mass female</t>
  </si>
  <si>
    <t>wing mass male</t>
  </si>
  <si>
    <t>wing mass female</t>
  </si>
  <si>
    <t>Wing load male</t>
  </si>
  <si>
    <t>Wing load female</t>
  </si>
  <si>
    <t>Wing length male</t>
  </si>
  <si>
    <t>Wing length female</t>
  </si>
  <si>
    <t>Wingspan male</t>
  </si>
  <si>
    <t>Wingspan female</t>
  </si>
  <si>
    <t>Aspect ratio male</t>
  </si>
  <si>
    <t>Aspect ratio female</t>
  </si>
  <si>
    <t>moment of inertia body male</t>
  </si>
  <si>
    <t>moment of inertia extended wing male</t>
  </si>
  <si>
    <t>J wing male</t>
  </si>
  <si>
    <t>moment of inertia body female</t>
  </si>
  <si>
    <t>J wing female</t>
  </si>
  <si>
    <t>moment of inertia extended wing female</t>
  </si>
  <si>
    <t>Span Angle Down to Upstroke</t>
  </si>
  <si>
    <t>Wingbeat frequency</t>
  </si>
  <si>
    <t>Roll rate</t>
  </si>
  <si>
    <t>Friction drag wing</t>
  </si>
  <si>
    <t>Body drag coefficient</t>
  </si>
  <si>
    <t>Tail length male</t>
  </si>
  <si>
    <t>Tail length female</t>
  </si>
  <si>
    <t>Cruise speed male</t>
  </si>
  <si>
    <t>Cruise speed femal</t>
  </si>
  <si>
    <t>Maximum horizontal speed male</t>
  </si>
  <si>
    <t>Maximum horizontal speed female</t>
  </si>
  <si>
    <t>Source</t>
  </si>
  <si>
    <t>Peregrine falcon</t>
  </si>
  <si>
    <t>Slechtvalk</t>
  </si>
  <si>
    <t>Falco peregrinus</t>
  </si>
  <si>
    <t>Jenkins, A.R. (2014) Morphometrics and flight performance of southern African Peregrine and Lanner Falcons. J. AVIAN Biol. 26, 49?58</t>
  </si>
  <si>
    <t>Lanner falcon</t>
  </si>
  <si>
    <t>Lannervalk</t>
  </si>
  <si>
    <t>Falco biarmicus</t>
  </si>
  <si>
    <t>Commen kestrel</t>
  </si>
  <si>
    <t>Torenvalk</t>
  </si>
  <si>
    <t>Falco tinnunculus</t>
  </si>
  <si>
    <t>Mendelsohn, J. et al. (1988) Wing areas, wing loadings and wing spans of 66 species of african raptors. Ostrich 60, 35?42</t>
  </si>
  <si>
    <t>Greater kestrel</t>
  </si>
  <si>
    <t>Grote torenvalk</t>
  </si>
  <si>
    <t>Falco rupicoloides</t>
  </si>
  <si>
    <t>Pale chanting goshawk</t>
  </si>
  <si>
    <t>Zanghavik</t>
  </si>
  <si>
    <t>Melierax canorus</t>
  </si>
  <si>
    <t>Black winged kite</t>
  </si>
  <si>
    <t>Grijze wouw</t>
  </si>
  <si>
    <t>Elanus caeruleus</t>
  </si>
  <si>
    <t>Common buzzard</t>
  </si>
  <si>
    <t>Buizerd</t>
  </si>
  <si>
    <t>Buteo buteo</t>
  </si>
  <si>
    <t>Red necked falcon</t>
  </si>
  <si>
    <t>Roodkopsmelleken</t>
  </si>
  <si>
    <t>Falco chicquera</t>
  </si>
  <si>
    <t>Lesser kestrel</t>
  </si>
  <si>
    <t>Kleine torenvalk</t>
  </si>
  <si>
    <t>Falco naumanni</t>
  </si>
  <si>
    <t>Red-footed falcon</t>
  </si>
  <si>
    <t>Roodpootvalk</t>
  </si>
  <si>
    <t>Falco vespertinus</t>
  </si>
  <si>
    <t>Barn owl</t>
  </si>
  <si>
    <t>Kerkuil</t>
  </si>
  <si>
    <t>Tyto alba</t>
  </si>
  <si>
    <t>Steppe eagle</t>
  </si>
  <si>
    <t>Steppearend</t>
  </si>
  <si>
    <t>Aquila nipalensis</t>
  </si>
  <si>
    <t>African hawk-eagle</t>
  </si>
  <si>
    <t>Aquila spilogaster</t>
  </si>
  <si>
    <t>Black kite</t>
  </si>
  <si>
    <t>Zwarte wouw</t>
  </si>
  <si>
    <t>Milvus migrans</t>
  </si>
  <si>
    <t>Lizzard buzzard</t>
  </si>
  <si>
    <t>Hagedisbuizerd</t>
  </si>
  <si>
    <t>Kaupifalco monogrammicus</t>
  </si>
  <si>
    <t>African marsh harrier</t>
  </si>
  <si>
    <t>Afrikaanse bruine kiekendief</t>
  </si>
  <si>
    <t>Circus ranivorus</t>
  </si>
  <si>
    <t>Eurasian sparrowhawk</t>
  </si>
  <si>
    <t>Sperwer</t>
  </si>
  <si>
    <t>Accipiter nisus</t>
  </si>
  <si>
    <t xml:space="preserve">	Berg, C.V.A.N.D.E.N. and Rayner, J.M. V (1995) The moment of inertia of bird wings and the inertial power requirement for flapping flight. J. Exp. Biol. 198, 1655?1664</t>
  </si>
  <si>
    <t>Tawny owl</t>
  </si>
  <si>
    <t>Bosuil</t>
  </si>
  <si>
    <t>Strix aluco</t>
  </si>
  <si>
    <t xml:space="preserve">	Berg, C.V.A.N.D.E.N. and Rayner, J.M. V (1995) The moment of inertia of bird wings and the inertial power requirement for flapping flight. J. Exp. Biol. 198, 1655?16</t>
  </si>
  <si>
    <t>Woodcock</t>
  </si>
  <si>
    <t>Houtsnip</t>
  </si>
  <si>
    <t>Scolopax rusticola</t>
  </si>
  <si>
    <t>Black headed gull</t>
  </si>
  <si>
    <t>Kokmeeuw</t>
  </si>
  <si>
    <t>Chroicocephalus ridibundus</t>
  </si>
  <si>
    <t xml:space="preserve">	Berg, C.V.A.N.D.E.N. and Rayner, J.M. V (1995) The moment of inertia of bird wings and the inertial power requirement for flapping flight. J. Exp. Biol. 198, 1655?</t>
  </si>
  <si>
    <t>Rock dove</t>
  </si>
  <si>
    <t>Rotsduif</t>
  </si>
  <si>
    <t>Columba livia</t>
  </si>
  <si>
    <t>Common kingfisher</t>
  </si>
  <si>
    <t>Ijsvogel</t>
  </si>
  <si>
    <t>Alcedo atthis</t>
  </si>
  <si>
    <t>European green woodpecker</t>
  </si>
  <si>
    <t>Groene specht</t>
  </si>
  <si>
    <t>Great spotted woodpecker</t>
  </si>
  <si>
    <t>Grote bonte specht</t>
  </si>
  <si>
    <t>Dendrocopos major</t>
  </si>
  <si>
    <t>Common house martin</t>
  </si>
  <si>
    <t>Huiszwaluw</t>
  </si>
  <si>
    <t>European robin</t>
  </si>
  <si>
    <t>Roodborst</t>
  </si>
  <si>
    <t>Erithacus rubecula</t>
  </si>
  <si>
    <t>Common blackbird</t>
  </si>
  <si>
    <t>Merel</t>
  </si>
  <si>
    <t>Turdus merula</t>
  </si>
  <si>
    <t>Song thrush</t>
  </si>
  <si>
    <t>Zanglijster</t>
  </si>
  <si>
    <t>Turdus philomelos</t>
  </si>
  <si>
    <t>Coal tit</t>
  </si>
  <si>
    <t>Zwarte mees</t>
  </si>
  <si>
    <t>Periparus ater</t>
  </si>
  <si>
    <t>Eurasian blue tit</t>
  </si>
  <si>
    <t>Pimpelmees</t>
  </si>
  <si>
    <t>Cyanistes caeruleus</t>
  </si>
  <si>
    <t>Common chaffinch</t>
  </si>
  <si>
    <t>Vink</t>
  </si>
  <si>
    <t>Fringilla coelebs</t>
  </si>
  <si>
    <t>Zebra finch</t>
  </si>
  <si>
    <t>Zebravink</t>
  </si>
  <si>
    <t>Taeniopygia guttata</t>
  </si>
  <si>
    <t>Red-billed quelea</t>
  </si>
  <si>
    <t>Roodbekwever</t>
  </si>
  <si>
    <t>Quelea quelea</t>
  </si>
  <si>
    <t>Common starling</t>
  </si>
  <si>
    <t>Spreeuw</t>
  </si>
  <si>
    <t>Sturnus vulgaris</t>
  </si>
  <si>
    <t>Rook</t>
  </si>
  <si>
    <t>Roek</t>
  </si>
  <si>
    <t>Corvus frugilegus</t>
  </si>
  <si>
    <t>Body area male</t>
  </si>
  <si>
    <t>Body area female</t>
  </si>
  <si>
    <t>Afrikaanse havikarend</t>
  </si>
  <si>
    <t>Picus viridus</t>
  </si>
  <si>
    <t>Delichon urbica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</si>
</sst>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6" fillId="2" borderId="0" xfId="6"/>
    <xf numFmtId="0" fontId="7" fillId="3" borderId="0" xfId="7"/>
    <xf numFmtId="0" fontId="7" fillId="3" borderId="0" xfId="7" applyAlignment="1">
      <alignment vertical="center"/>
    </xf>
    <xf numFmtId="0" fontId="9" fillId="5" borderId="4" xfId="9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AK38" totalsRowShown="0">
  <autoFilter ref="A1:AK38"/>
  <tableColumns count="37">
    <tableColumn id="1" name="ID"/>
    <tableColumn id="2" name="Species(eng)"/>
    <tableColumn id="3" name="Species(nl)"/>
    <tableColumn id="4" name="Species(sci)"/>
    <tableColumn id="5" name="Predator"/>
    <tableColumn id="6" name="body mass male" dataCellStyle="Good"/>
    <tableColumn id="7" name="body mass female" dataCellStyle="Good"/>
    <tableColumn id="8" name="wing mass male"/>
    <tableColumn id="9" name="wing mass female"/>
    <tableColumn id="10" name="Wing load male"/>
    <tableColumn id="11" name="Wing load female"/>
    <tableColumn id="12" name="Wing length male"/>
    <tableColumn id="13" name="Wing length female"/>
    <tableColumn id="14" name="Wingspan male"/>
    <tableColumn id="15" name="Wingspan female"/>
    <tableColumn id="16" name="Aspect ratio male"/>
    <tableColumn id="17" name="Aspect ratio female"/>
    <tableColumn id="18" name="moment of inertia body male"/>
    <tableColumn id="19" name="moment of inertia extended wing male"/>
    <tableColumn id="20" name="J wing male"/>
    <tableColumn id="21" name="moment of inertia body female"/>
    <tableColumn id="22" name="J wing female"/>
    <tableColumn id="23" name="moment of inertia extended wing female"/>
    <tableColumn id="24" name="Span Angle Down to Upstroke"/>
    <tableColumn id="25" name="Wingbeat frequency"/>
    <tableColumn id="37" name="Body area male" dataDxfId="1">
      <calculatedColumnFormula>calculate_body_Area(Table1[[#This Row],[body mass male]] / 1000)</calculatedColumnFormula>
    </tableColumn>
    <tableColumn id="26" name="Body area female"/>
    <tableColumn id="27" name="Roll rate"/>
    <tableColumn id="28" name="Friction drag wing"/>
    <tableColumn id="29" name="Body drag coefficient"/>
    <tableColumn id="30" name="Tail length male"/>
    <tableColumn id="31" name="Tail length female"/>
    <tableColumn id="32" name="Cruise speed male"/>
    <tableColumn id="33" name="Cruise speed femal"/>
    <tableColumn id="34" name="Maximum horizontal speed male" dataDxfId="0">
      <calculatedColumnFormula xml:space="preserve"> doubleNumPo(6)</calculatedColumnFormula>
    </tableColumn>
    <tableColumn id="35" name="Maximum horizontal speed female"/>
    <tableColumn id="36" name="Sourc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38"/>
  <sheetViews>
    <sheetView tabSelected="1" workbookViewId="0">
      <selection activeCell="B1" sqref="B1"/>
    </sheetView>
  </sheetViews>
  <sheetFormatPr defaultRowHeight="15" x14ac:dyDescent="0.25"/>
  <cols>
    <col min="2" max="2" width="21.5703125" customWidth="1"/>
    <col min="3" max="3" width="24" customWidth="1"/>
    <col min="4" max="4" width="26.140625" customWidth="1"/>
    <col min="5" max="5" width="10.85546875" customWidth="1"/>
    <col min="6" max="6" width="17.28515625" customWidth="1"/>
    <col min="7" max="7" width="19.140625" customWidth="1"/>
    <col min="8" max="8" width="17.140625" customWidth="1"/>
    <col min="9" max="9" width="19" customWidth="1"/>
    <col min="10" max="10" width="16.85546875" customWidth="1"/>
    <col min="11" max="12" width="18.7109375" customWidth="1"/>
    <col min="13" max="13" width="20.5703125" customWidth="1"/>
    <col min="14" max="14" width="16.7109375" customWidth="1"/>
    <col min="15" max="16" width="18.5703125" customWidth="1"/>
    <col min="17" max="17" width="20.42578125" customWidth="1"/>
    <col min="18" max="18" width="29" customWidth="1"/>
    <col min="19" max="19" width="37.85546875" customWidth="1"/>
    <col min="20" max="20" width="13.42578125" customWidth="1"/>
    <col min="21" max="21" width="30.85546875" customWidth="1"/>
    <col min="22" max="22" width="15.28515625" customWidth="1"/>
    <col min="23" max="23" width="39.7109375" customWidth="1"/>
    <col min="24" max="24" width="29.28515625" customWidth="1"/>
    <col min="25" max="25" width="21.140625" customWidth="1"/>
    <col min="26" max="26" width="11.85546875" customWidth="1"/>
    <col min="27" max="27" width="10.5703125" customWidth="1"/>
    <col min="28" max="28" width="18.85546875" customWidth="1"/>
    <col min="29" max="29" width="21.85546875" customWidth="1"/>
    <col min="30" max="30" width="17.28515625" customWidth="1"/>
    <col min="31" max="31" width="19.140625" customWidth="1"/>
    <col min="32" max="32" width="19.42578125" customWidth="1"/>
    <col min="33" max="33" width="20.140625" customWidth="1"/>
    <col min="34" max="34" width="32.140625" customWidth="1"/>
    <col min="35" max="35" width="34" customWidth="1"/>
    <col min="37" max="37" width="146.42578125" customWidth="1"/>
  </cols>
  <sheetData>
    <row r="1" spans="1:3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142</v>
      </c>
      <c r="AA1" t="s">
        <v>143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</row>
    <row r="2" spans="1:37" x14ac:dyDescent="0.25">
      <c r="A2">
        <v>1</v>
      </c>
      <c r="B2" t="s">
        <v>35</v>
      </c>
      <c r="C2" t="s">
        <v>36</v>
      </c>
      <c r="D2" t="s">
        <v>37</v>
      </c>
      <c r="E2" t="b">
        <v>1</v>
      </c>
      <c r="F2" s="1">
        <v>528</v>
      </c>
      <c r="G2" s="1">
        <v>771</v>
      </c>
      <c r="H2" s="4">
        <v>3.2000000000000001E-2</v>
      </c>
      <c r="I2" s="4">
        <v>3.2000000000000001E-2</v>
      </c>
      <c r="J2" s="1">
        <v>57.2</v>
      </c>
      <c r="K2" s="1">
        <v>63.3</v>
      </c>
      <c r="L2" s="1">
        <v>28.4</v>
      </c>
      <c r="M2" s="1">
        <v>32.1</v>
      </c>
      <c r="N2" s="1">
        <v>87.3</v>
      </c>
      <c r="O2" s="1">
        <v>98.4</v>
      </c>
      <c r="P2" s="1">
        <v>8.49</v>
      </c>
      <c r="Q2" s="1">
        <v>7.92</v>
      </c>
      <c r="R2" s="3">
        <f xml:space="preserve"> calculate_body_I(Table1[[#This Row],[body mass male]]/1000)</f>
        <v>4.4802352476124621E-4</v>
      </c>
      <c r="S2" s="3">
        <f>calculate_wing_I(Table1[[#This Row],[wing mass male]],Table1[[#This Row],[Wing length male]]/100)</f>
        <v>2.965699834635859E-4</v>
      </c>
      <c r="T2" s="3">
        <f xml:space="preserve"> calculate_J(Table1[[#This Row],[wing mass male]],Table1[[#This Row],[Wing length male]] / 100)</f>
        <v>2.5012844036697251E-3</v>
      </c>
      <c r="U2" s="3">
        <f xml:space="preserve"> calculate_body_I(Table1[[#This Row],[body mass female]]/1000)</f>
        <v>8.3992164760563674E-4</v>
      </c>
      <c r="V2" s="3">
        <f xml:space="preserve"> calculate_J(Table1[[#This Row],[wing mass female]],Table1[[#This Row],[Wing length female]] / 100)</f>
        <v>2.8271559633027531E-3</v>
      </c>
      <c r="W2" s="3">
        <f>calculate_wing_I(Table1[[#This Row],[wing mass female]],Table1[[#This Row],[Wing length female]]/100)</f>
        <v>3.7887903771661574E-4</v>
      </c>
      <c r="X2" s="2">
        <v>1.57</v>
      </c>
      <c r="Y2" s="1">
        <v>5.0999999999999996</v>
      </c>
      <c r="Z2" s="2">
        <f>calculate_body_Area(Table1[[#This Row],[body mass male]] / 1000)</f>
        <v>4.2749890126487803E-3</v>
      </c>
      <c r="AA2" s="2">
        <f>calculate_body_Area(Table1[[#This Row],[body mass female]] / 1000)</f>
        <v>5.5302009517588617E-3</v>
      </c>
      <c r="AB2">
        <v>5</v>
      </c>
      <c r="AC2" s="1">
        <v>1.4E-2</v>
      </c>
      <c r="AD2" s="1">
        <v>0.14000000000000001</v>
      </c>
      <c r="AE2" s="1">
        <v>19</v>
      </c>
      <c r="AF2" s="1">
        <v>19</v>
      </c>
      <c r="AG2" s="2">
        <v>15.33</v>
      </c>
      <c r="AH2" s="2">
        <v>12.25</v>
      </c>
      <c r="AK2" t="s">
        <v>38</v>
      </c>
    </row>
    <row r="3" spans="1:37" x14ac:dyDescent="0.25">
      <c r="A3">
        <v>2</v>
      </c>
      <c r="B3" t="s">
        <v>39</v>
      </c>
      <c r="C3" t="s">
        <v>40</v>
      </c>
      <c r="D3" t="s">
        <v>41</v>
      </c>
      <c r="E3" t="b">
        <v>1</v>
      </c>
      <c r="F3" s="1">
        <v>506</v>
      </c>
      <c r="G3" s="1">
        <v>726</v>
      </c>
      <c r="J3" s="1">
        <v>42.1</v>
      </c>
      <c r="K3" s="1">
        <v>49.1</v>
      </c>
      <c r="L3" s="1">
        <v>31.5</v>
      </c>
      <c r="M3" s="1">
        <v>35.4</v>
      </c>
      <c r="N3" s="1">
        <v>96.4</v>
      </c>
      <c r="O3" s="1">
        <v>106.5</v>
      </c>
      <c r="P3" s="1">
        <v>7.92</v>
      </c>
      <c r="Q3" s="1">
        <v>7.83</v>
      </c>
      <c r="X3" s="2">
        <v>1.57</v>
      </c>
      <c r="Z3" s="2">
        <f>calculate_body_Area(Table1[[#This Row],[body mass male]] / 1000)</f>
        <v>4.1530416539325189E-3</v>
      </c>
      <c r="AA3" s="2">
        <f>calculate_body_Area(Table1[[#This Row],[body mass female]] / 1000)</f>
        <v>5.308610205253016E-3</v>
      </c>
      <c r="AC3" s="2">
        <f xml:space="preserve"> AC2 * SQRT(Table1[[#This Row],[Wingspan male]]  /  N2)</f>
        <v>1.4711583828397849E-2</v>
      </c>
      <c r="AE3" s="1">
        <v>18.100000000000001</v>
      </c>
      <c r="AF3" s="1">
        <v>20.2</v>
      </c>
      <c r="AG3" s="2">
        <v>14.28</v>
      </c>
      <c r="AH3" s="2">
        <v>12.61</v>
      </c>
      <c r="AK3" t="s">
        <v>38</v>
      </c>
    </row>
    <row r="4" spans="1:37" x14ac:dyDescent="0.25">
      <c r="A4">
        <v>3</v>
      </c>
      <c r="B4" t="s">
        <v>42</v>
      </c>
      <c r="C4" t="s">
        <v>43</v>
      </c>
      <c r="D4" t="s">
        <v>44</v>
      </c>
      <c r="E4" t="b">
        <v>1</v>
      </c>
      <c r="F4" s="1">
        <v>155</v>
      </c>
      <c r="G4" s="1">
        <v>184</v>
      </c>
      <c r="J4" s="1">
        <v>28.1</v>
      </c>
      <c r="K4" s="1">
        <v>28.1</v>
      </c>
      <c r="L4" s="1">
        <v>24.4</v>
      </c>
      <c r="M4" s="1">
        <v>24.4</v>
      </c>
      <c r="N4" s="1">
        <v>75</v>
      </c>
      <c r="O4" s="1">
        <v>75</v>
      </c>
      <c r="P4" s="1">
        <v>8.8699999999999992</v>
      </c>
      <c r="Q4" s="1">
        <v>8.8699999999999992</v>
      </c>
      <c r="X4" s="2">
        <v>1.57</v>
      </c>
      <c r="Z4" s="2">
        <f>calculate_body_Area(Table1[[#This Row],[body mass male]] / 1000)</f>
        <v>1.8576739467100114E-3</v>
      </c>
      <c r="AA4" s="2">
        <f>calculate_body_Area(Table1[[#This Row],[body mass female]] / 1000)</f>
        <v>2.0874690984563778E-3</v>
      </c>
      <c r="AC4" s="2">
        <f xml:space="preserve"> AC3 * SQRT(Table1[[#This Row],[Wingspan male]]  /  N3)</f>
        <v>1.2976319960801133E-2</v>
      </c>
      <c r="AE4" s="1">
        <v>15.24</v>
      </c>
      <c r="AF4" s="1">
        <v>15.24</v>
      </c>
      <c r="AG4" s="2">
        <v>12.21</v>
      </c>
      <c r="AH4" s="2">
        <v>11.74</v>
      </c>
      <c r="AK4" t="s">
        <v>45</v>
      </c>
    </row>
    <row r="5" spans="1:37" x14ac:dyDescent="0.25">
      <c r="A5">
        <v>4</v>
      </c>
      <c r="B5" t="s">
        <v>46</v>
      </c>
      <c r="C5" t="s">
        <v>47</v>
      </c>
      <c r="D5" t="s">
        <v>48</v>
      </c>
      <c r="E5" t="b">
        <v>1</v>
      </c>
      <c r="F5" s="1">
        <v>248</v>
      </c>
      <c r="G5" s="1">
        <v>263</v>
      </c>
      <c r="J5" s="1">
        <v>30.1</v>
      </c>
      <c r="K5" s="1">
        <v>30.5</v>
      </c>
      <c r="L5" s="1">
        <v>27.8</v>
      </c>
      <c r="M5" s="1">
        <v>28.8</v>
      </c>
      <c r="N5" s="1">
        <v>84</v>
      </c>
      <c r="O5" s="1">
        <v>84</v>
      </c>
      <c r="P5" s="1">
        <v>8.7100000000000009</v>
      </c>
      <c r="Q5" s="1">
        <v>8.3000000000000007</v>
      </c>
      <c r="X5" s="2">
        <v>1.57</v>
      </c>
      <c r="Z5" s="2">
        <f>calculate_body_Area(Table1[[#This Row],[body mass male]] / 1000)</f>
        <v>2.5572375829491928E-3</v>
      </c>
      <c r="AA5" s="2">
        <f>calculate_body_Area(Table1[[#This Row],[body mass female]] / 1000)</f>
        <v>2.6614226248648943E-3</v>
      </c>
      <c r="AC5" s="2">
        <f xml:space="preserve"> AC4 * SQRT(Table1[[#This Row],[Wingspan male]]  /  N4)</f>
        <v>1.3732846219633287E-2</v>
      </c>
      <c r="AE5" s="1"/>
      <c r="AG5" s="2">
        <v>12.5</v>
      </c>
      <c r="AH5" s="2">
        <v>12.18</v>
      </c>
      <c r="AK5" t="s">
        <v>45</v>
      </c>
    </row>
    <row r="6" spans="1:37" x14ac:dyDescent="0.25">
      <c r="A6">
        <v>5</v>
      </c>
      <c r="B6" t="s">
        <v>49</v>
      </c>
      <c r="C6" t="s">
        <v>50</v>
      </c>
      <c r="D6" t="s">
        <v>51</v>
      </c>
      <c r="E6" t="b">
        <v>1</v>
      </c>
      <c r="F6" s="1">
        <v>647</v>
      </c>
      <c r="G6" s="1">
        <v>808.7</v>
      </c>
      <c r="J6" s="1">
        <v>41</v>
      </c>
      <c r="K6" s="1">
        <v>43.1</v>
      </c>
      <c r="L6" s="1">
        <v>34.200000000000003</v>
      </c>
      <c r="M6" s="1">
        <v>39.700000000000003</v>
      </c>
      <c r="N6" s="1">
        <v>110</v>
      </c>
      <c r="O6" s="1">
        <v>110</v>
      </c>
      <c r="P6" s="1">
        <v>7.76</v>
      </c>
      <c r="Q6" s="1">
        <v>6.54</v>
      </c>
      <c r="X6" s="2">
        <v>1.57</v>
      </c>
      <c r="Z6" s="2">
        <f>calculate_body_Area(Table1[[#This Row],[body mass male]] / 1000)</f>
        <v>4.9086136008637772E-3</v>
      </c>
      <c r="AA6" s="2">
        <f>calculate_body_Area(Table1[[#This Row],[body mass female]] / 1000)</f>
        <v>5.7126734157002717E-3</v>
      </c>
      <c r="AC6" s="2">
        <f xml:space="preserve"> AC5 * SQRT(Table1[[#This Row],[Wingspan male]]  /  N5)</f>
        <v>1.5715103889680764E-2</v>
      </c>
      <c r="AE6" s="1">
        <v>12.3</v>
      </c>
      <c r="AF6" s="1">
        <v>12.3</v>
      </c>
      <c r="AG6" s="2">
        <v>13.77</v>
      </c>
      <c r="AH6" s="2">
        <v>12.9</v>
      </c>
      <c r="AK6" t="s">
        <v>45</v>
      </c>
    </row>
    <row r="7" spans="1:37" x14ac:dyDescent="0.25">
      <c r="A7">
        <v>6</v>
      </c>
      <c r="B7" t="s">
        <v>52</v>
      </c>
      <c r="C7" t="s">
        <v>53</v>
      </c>
      <c r="D7" t="s">
        <v>54</v>
      </c>
      <c r="E7" t="b">
        <v>1</v>
      </c>
      <c r="F7" s="1">
        <v>235</v>
      </c>
      <c r="G7" s="1">
        <v>257.60000000000002</v>
      </c>
      <c r="J7" s="1">
        <v>26.2</v>
      </c>
      <c r="K7" s="1">
        <v>27.2</v>
      </c>
      <c r="L7" s="1">
        <v>26.5</v>
      </c>
      <c r="M7" s="1">
        <v>26.6</v>
      </c>
      <c r="N7" s="1">
        <v>85</v>
      </c>
      <c r="O7" s="1">
        <v>85</v>
      </c>
      <c r="P7" s="1">
        <v>8.2100000000000009</v>
      </c>
      <c r="Q7" s="1">
        <v>7.78</v>
      </c>
      <c r="X7" s="2">
        <v>1.57</v>
      </c>
      <c r="Z7" s="2">
        <f>calculate_body_Area(Table1[[#This Row],[body mass male]] / 1000)</f>
        <v>2.4653017380352861E-3</v>
      </c>
      <c r="AA7" s="2">
        <f>calculate_body_Area(Table1[[#This Row],[body mass female]] / 1000)</f>
        <v>2.624140713986443E-3</v>
      </c>
      <c r="AC7" s="2">
        <f xml:space="preserve"> AC6 * SQRT(Table1[[#This Row],[Wingspan male]]  /  N6)</f>
        <v>1.3814347506189503E-2</v>
      </c>
      <c r="AE7" s="1">
        <v>23</v>
      </c>
      <c r="AF7" s="1">
        <v>23</v>
      </c>
      <c r="AG7" s="2">
        <v>12.1</v>
      </c>
      <c r="AH7" s="2">
        <v>12.02</v>
      </c>
      <c r="AK7" t="s">
        <v>45</v>
      </c>
    </row>
    <row r="8" spans="1:37" x14ac:dyDescent="0.25">
      <c r="A8">
        <v>7</v>
      </c>
      <c r="B8" t="s">
        <v>55</v>
      </c>
      <c r="C8" t="s">
        <v>56</v>
      </c>
      <c r="D8" t="s">
        <v>57</v>
      </c>
      <c r="E8" t="b">
        <v>1</v>
      </c>
      <c r="F8" s="1">
        <v>731</v>
      </c>
      <c r="G8" s="1">
        <v>731</v>
      </c>
      <c r="J8" s="1">
        <v>38.5</v>
      </c>
      <c r="K8" s="1">
        <v>38.5</v>
      </c>
      <c r="L8" s="1">
        <v>59</v>
      </c>
      <c r="M8" s="1">
        <v>59</v>
      </c>
      <c r="N8" s="1">
        <v>136</v>
      </c>
      <c r="O8" s="1">
        <v>136</v>
      </c>
      <c r="P8" s="1">
        <v>9.89</v>
      </c>
      <c r="Q8" s="1">
        <v>9.89</v>
      </c>
      <c r="X8" s="2">
        <v>1.57</v>
      </c>
      <c r="Z8" s="2">
        <f>calculate_body_Area(Table1[[#This Row],[body mass male]] / 1000)</f>
        <v>5.3334441525257417E-3</v>
      </c>
      <c r="AA8" s="2">
        <f>calculate_body_Area(Table1[[#This Row],[body mass female]] / 1000)</f>
        <v>5.3334441525257417E-3</v>
      </c>
      <c r="AC8" s="2">
        <f xml:space="preserve"> AC7 * SQRT(Table1[[#This Row],[Wingspan male]]  /  N7)</f>
        <v>1.747392100345033E-2</v>
      </c>
      <c r="AE8" s="1">
        <v>18</v>
      </c>
      <c r="AF8" s="1">
        <v>18</v>
      </c>
      <c r="AG8" s="2">
        <v>13.34</v>
      </c>
      <c r="AH8" s="2">
        <v>15.03</v>
      </c>
      <c r="AK8" t="s">
        <v>45</v>
      </c>
    </row>
    <row r="9" spans="1:37" x14ac:dyDescent="0.25">
      <c r="A9">
        <v>8</v>
      </c>
      <c r="B9" t="s">
        <v>58</v>
      </c>
      <c r="C9" t="s">
        <v>59</v>
      </c>
      <c r="D9" t="s">
        <v>60</v>
      </c>
      <c r="E9" t="b">
        <v>1</v>
      </c>
      <c r="F9" s="1">
        <v>216</v>
      </c>
      <c r="G9" s="1">
        <v>216</v>
      </c>
      <c r="J9" s="1">
        <v>36</v>
      </c>
      <c r="K9" s="1">
        <v>36</v>
      </c>
      <c r="L9" s="1">
        <v>23.4</v>
      </c>
      <c r="M9" s="1">
        <v>23.4</v>
      </c>
      <c r="N9" s="1">
        <v>70</v>
      </c>
      <c r="O9" s="1">
        <v>70</v>
      </c>
      <c r="P9" s="1">
        <v>8.31</v>
      </c>
      <c r="Q9" s="1">
        <v>8.31</v>
      </c>
      <c r="X9" s="2">
        <v>1.57</v>
      </c>
      <c r="Z9" s="2">
        <f>calculate_body_Area(Table1[[#This Row],[body mass male]] / 1000)</f>
        <v>2.3279437717514126E-3</v>
      </c>
      <c r="AA9" s="2">
        <f>calculate_body_Area(Table1[[#This Row],[body mass female]] / 1000)</f>
        <v>2.3279437717514126E-3</v>
      </c>
      <c r="AC9" s="2">
        <f xml:space="preserve"> AC8 * SQRT(Table1[[#This Row],[Wingspan male]]  /  N8)</f>
        <v>1.2536316088737828E-2</v>
      </c>
      <c r="AE9" s="1">
        <v>12.2</v>
      </c>
      <c r="AF9" s="1">
        <v>12.2</v>
      </c>
      <c r="AG9" s="2">
        <v>13.09</v>
      </c>
      <c r="AH9" s="2">
        <v>11.6</v>
      </c>
      <c r="AK9" t="s">
        <v>45</v>
      </c>
    </row>
    <row r="10" spans="1:37" x14ac:dyDescent="0.25">
      <c r="A10">
        <v>9</v>
      </c>
      <c r="B10" t="s">
        <v>61</v>
      </c>
      <c r="C10" t="s">
        <v>62</v>
      </c>
      <c r="D10" t="s">
        <v>63</v>
      </c>
      <c r="E10" t="b">
        <v>1</v>
      </c>
      <c r="F10" s="1">
        <v>121</v>
      </c>
      <c r="G10" s="1">
        <v>121</v>
      </c>
      <c r="J10" s="1">
        <v>21.4</v>
      </c>
      <c r="K10" s="1">
        <v>21.4</v>
      </c>
      <c r="L10" s="1">
        <v>23.4</v>
      </c>
      <c r="M10" s="1">
        <v>23.4</v>
      </c>
      <c r="N10" s="1">
        <v>72</v>
      </c>
      <c r="O10" s="1">
        <v>72</v>
      </c>
      <c r="P10" s="1">
        <v>9.26</v>
      </c>
      <c r="Q10" s="1">
        <v>9.26</v>
      </c>
      <c r="X10" s="2">
        <v>1.57</v>
      </c>
      <c r="Z10" s="2">
        <f>calculate_body_Area(Table1[[#This Row],[body mass male]] / 1000)</f>
        <v>1.5697770930485928E-3</v>
      </c>
      <c r="AA10" s="2">
        <f>calculate_body_Area(Table1[[#This Row],[body mass female]] / 1000)</f>
        <v>1.5697770930485928E-3</v>
      </c>
      <c r="AC10" s="2">
        <f xml:space="preserve"> AC9 * SQRT(Table1[[#This Row],[Wingspan male]]  /  N9)</f>
        <v>1.2714145057221998E-2</v>
      </c>
      <c r="AE10" s="1">
        <v>13</v>
      </c>
      <c r="AF10" s="1">
        <v>13</v>
      </c>
      <c r="AG10" s="2">
        <v>11.32</v>
      </c>
      <c r="AH10" s="2">
        <v>11.6</v>
      </c>
      <c r="AK10" t="s">
        <v>45</v>
      </c>
    </row>
    <row r="11" spans="1:37" x14ac:dyDescent="0.25">
      <c r="A11">
        <v>10</v>
      </c>
      <c r="B11" t="s">
        <v>64</v>
      </c>
      <c r="C11" t="s">
        <v>65</v>
      </c>
      <c r="D11" t="s">
        <v>66</v>
      </c>
      <c r="E11" t="b">
        <v>1</v>
      </c>
      <c r="F11" s="1">
        <v>112.5</v>
      </c>
      <c r="G11" s="1">
        <v>112.5</v>
      </c>
      <c r="J11" s="1">
        <v>20.399999999999999</v>
      </c>
      <c r="K11" s="1">
        <v>20.399999999999999</v>
      </c>
      <c r="L11" s="1">
        <v>23.3</v>
      </c>
      <c r="M11" s="1">
        <v>23.3</v>
      </c>
      <c r="N11" s="1">
        <v>76</v>
      </c>
      <c r="O11" s="1">
        <v>76</v>
      </c>
      <c r="P11" s="1">
        <v>10.7</v>
      </c>
      <c r="Q11" s="1">
        <v>10.7</v>
      </c>
      <c r="X11" s="2">
        <v>1.57</v>
      </c>
      <c r="Z11" s="2">
        <f>calculate_body_Area(Table1[[#This Row],[body mass male]] / 1000)</f>
        <v>1.4939210641035964E-3</v>
      </c>
      <c r="AA11" s="2">
        <f>calculate_body_Area(Table1[[#This Row],[body mass female]] / 1000)</f>
        <v>1.4939210641035964E-3</v>
      </c>
      <c r="AC11" s="2">
        <f xml:space="preserve"> AC10 * SQRT(Table1[[#This Row],[Wingspan male]]  /  N10)</f>
        <v>1.306254230441968E-2</v>
      </c>
      <c r="AE11" s="1">
        <v>24</v>
      </c>
      <c r="AF11" s="1">
        <v>24</v>
      </c>
      <c r="AG11" s="2">
        <v>11.17</v>
      </c>
      <c r="AH11" s="2">
        <v>11.59</v>
      </c>
      <c r="AK11" t="s">
        <v>45</v>
      </c>
    </row>
    <row r="12" spans="1:37" x14ac:dyDescent="0.25">
      <c r="A12">
        <v>11</v>
      </c>
      <c r="B12" t="s">
        <v>67</v>
      </c>
      <c r="C12" t="s">
        <v>68</v>
      </c>
      <c r="D12" t="s">
        <v>69</v>
      </c>
      <c r="E12" t="b">
        <v>1</v>
      </c>
      <c r="F12" s="1">
        <v>349</v>
      </c>
      <c r="G12" s="1">
        <v>349</v>
      </c>
      <c r="J12" s="1">
        <v>30.3</v>
      </c>
      <c r="K12" s="1">
        <v>30.3</v>
      </c>
      <c r="L12" s="1">
        <v>28.4</v>
      </c>
      <c r="M12" s="1">
        <v>28.4</v>
      </c>
      <c r="N12" s="1">
        <v>95</v>
      </c>
      <c r="O12" s="1">
        <v>95</v>
      </c>
      <c r="P12" s="1">
        <v>7.9</v>
      </c>
      <c r="Q12" s="1">
        <v>7.9</v>
      </c>
      <c r="X12" s="2">
        <v>1.57</v>
      </c>
      <c r="Z12" s="2">
        <f>calculate_body_Area(Table1[[#This Row],[body mass male]] / 1000)</f>
        <v>3.2260064091623763E-3</v>
      </c>
      <c r="AA12" s="2">
        <f>calculate_body_Area(Table1[[#This Row],[body mass female]] / 1000)</f>
        <v>3.2260064091623763E-3</v>
      </c>
      <c r="AC12" s="2">
        <f xml:space="preserve"> AC11 * SQRT(Table1[[#This Row],[Wingspan male]]  /  N11)</f>
        <v>1.4604366275824579E-2</v>
      </c>
      <c r="AE12" s="1">
        <v>12.5</v>
      </c>
      <c r="AF12" s="1">
        <v>12.5</v>
      </c>
      <c r="AG12" s="2">
        <v>12.48</v>
      </c>
      <c r="AH12" s="2">
        <v>12.25</v>
      </c>
      <c r="AK12" t="s">
        <v>45</v>
      </c>
    </row>
    <row r="13" spans="1:37" x14ac:dyDescent="0.25">
      <c r="A13">
        <v>12</v>
      </c>
      <c r="B13" t="s">
        <v>70</v>
      </c>
      <c r="C13" t="s">
        <v>71</v>
      </c>
      <c r="D13" t="s">
        <v>72</v>
      </c>
      <c r="E13" t="b">
        <v>1</v>
      </c>
      <c r="F13" s="1">
        <v>3025</v>
      </c>
      <c r="G13" s="1">
        <v>3025</v>
      </c>
      <c r="J13" s="1">
        <v>71.2</v>
      </c>
      <c r="K13" s="1">
        <v>71.2</v>
      </c>
      <c r="L13" s="1">
        <v>56.1</v>
      </c>
      <c r="M13" s="1">
        <v>56.1</v>
      </c>
      <c r="N13" s="1">
        <v>215</v>
      </c>
      <c r="O13" s="1">
        <v>215</v>
      </c>
      <c r="P13" s="1">
        <v>11.1</v>
      </c>
      <c r="Q13" s="1">
        <v>11.1</v>
      </c>
      <c r="X13" s="2">
        <v>1.57</v>
      </c>
      <c r="Z13" s="2">
        <f>calculate_body_Area(Table1[[#This Row],[body mass male]] / 1000)</f>
        <v>1.4009969610826678E-2</v>
      </c>
      <c r="AA13" s="2">
        <f>calculate_body_Area(Table1[[#This Row],[body mass female]] / 1000)</f>
        <v>1.4009969610826678E-2</v>
      </c>
      <c r="AC13" s="2">
        <f xml:space="preserve"> AC12 * SQRT(Table1[[#This Row],[Wingspan male]]  /  N12)</f>
        <v>2.1970510278065458E-2</v>
      </c>
      <c r="AE13" s="1"/>
      <c r="AG13" s="2">
        <v>15.85</v>
      </c>
      <c r="AH13" s="2">
        <v>14.82</v>
      </c>
      <c r="AK13" t="s">
        <v>45</v>
      </c>
    </row>
    <row r="14" spans="1:37" x14ac:dyDescent="0.25">
      <c r="A14">
        <v>13</v>
      </c>
      <c r="B14" t="s">
        <v>73</v>
      </c>
      <c r="C14" t="s">
        <v>144</v>
      </c>
      <c r="D14" t="s">
        <v>74</v>
      </c>
      <c r="E14" t="b">
        <v>1</v>
      </c>
      <c r="F14" s="1">
        <v>1480</v>
      </c>
      <c r="G14" s="1">
        <v>1480</v>
      </c>
      <c r="J14" s="1">
        <v>53</v>
      </c>
      <c r="K14" s="1">
        <v>53</v>
      </c>
      <c r="L14" s="1">
        <v>43.3</v>
      </c>
      <c r="M14" s="1">
        <v>43.3</v>
      </c>
      <c r="N14" s="1">
        <v>160</v>
      </c>
      <c r="O14" s="1">
        <v>160</v>
      </c>
      <c r="P14" s="1">
        <v>9.3000000000000007</v>
      </c>
      <c r="Q14" s="1">
        <v>9.3000000000000007</v>
      </c>
      <c r="X14" s="2">
        <v>1.57</v>
      </c>
      <c r="Z14" s="2">
        <f>calculate_body_Area(Table1[[#This Row],[body mass male]] / 1000)</f>
        <v>8.616321631512389E-3</v>
      </c>
      <c r="AA14" s="2">
        <f>calculate_body_Area(Table1[[#This Row],[body mass female]] / 1000)</f>
        <v>8.616321631512389E-3</v>
      </c>
      <c r="AC14" s="2">
        <f xml:space="preserve"> AC13 * SQRT(Table1[[#This Row],[Wingspan male]]  /  N13)</f>
        <v>1.895312841582756E-2</v>
      </c>
      <c r="AE14" s="1">
        <v>19.5</v>
      </c>
      <c r="AF14" s="1">
        <v>22.5</v>
      </c>
      <c r="AG14" s="2">
        <v>14.59</v>
      </c>
      <c r="AH14" s="2">
        <v>13.79</v>
      </c>
      <c r="AK14" t="s">
        <v>45</v>
      </c>
    </row>
    <row r="15" spans="1:37" x14ac:dyDescent="0.25">
      <c r="A15">
        <v>14</v>
      </c>
      <c r="B15" t="s">
        <v>75</v>
      </c>
      <c r="C15" t="s">
        <v>76</v>
      </c>
      <c r="D15" t="s">
        <v>77</v>
      </c>
      <c r="E15" t="b">
        <v>1</v>
      </c>
      <c r="F15" s="1">
        <v>631</v>
      </c>
      <c r="G15" s="1">
        <v>631</v>
      </c>
      <c r="J15" s="1">
        <v>28.8</v>
      </c>
      <c r="K15" s="1">
        <v>28.8</v>
      </c>
      <c r="L15" s="1">
        <v>42.5</v>
      </c>
      <c r="M15" s="1">
        <v>42.5</v>
      </c>
      <c r="N15" s="1">
        <v>155</v>
      </c>
      <c r="O15" s="1">
        <v>155</v>
      </c>
      <c r="P15" s="1">
        <v>11.2</v>
      </c>
      <c r="Q15" s="1">
        <v>11.2</v>
      </c>
      <c r="X15" s="2">
        <v>1.57</v>
      </c>
      <c r="Z15" s="2">
        <f>calculate_body_Area(Table1[[#This Row],[body mass male]] / 1000)</f>
        <v>4.8257397825792088E-3</v>
      </c>
      <c r="AA15" s="2">
        <f>calculate_body_Area(Table1[[#This Row],[body mass female]] / 1000)</f>
        <v>4.8257397825792088E-3</v>
      </c>
      <c r="AC15" s="2">
        <f xml:space="preserve"> AC14 * SQRT(Table1[[#This Row],[Wingspan male]]  /  N14)</f>
        <v>1.8654635297922901E-2</v>
      </c>
      <c r="AE15" s="1">
        <v>35</v>
      </c>
      <c r="AF15" s="1">
        <v>35</v>
      </c>
      <c r="AG15" s="2">
        <v>12.3</v>
      </c>
      <c r="AH15" s="2">
        <v>13.71</v>
      </c>
      <c r="AK15" t="s">
        <v>45</v>
      </c>
    </row>
    <row r="16" spans="1:37" x14ac:dyDescent="0.25">
      <c r="A16">
        <v>15</v>
      </c>
      <c r="B16" t="s">
        <v>78</v>
      </c>
      <c r="C16" t="s">
        <v>79</v>
      </c>
      <c r="D16" t="s">
        <v>80</v>
      </c>
      <c r="E16" t="b">
        <v>1</v>
      </c>
      <c r="F16" s="1">
        <v>303</v>
      </c>
      <c r="G16" s="1">
        <v>303</v>
      </c>
      <c r="J16" s="1">
        <v>40</v>
      </c>
      <c r="K16" s="1">
        <v>40</v>
      </c>
      <c r="L16" s="1">
        <v>22.6</v>
      </c>
      <c r="M16" s="1">
        <v>22.6</v>
      </c>
      <c r="N16" s="1">
        <v>75</v>
      </c>
      <c r="O16" s="1">
        <v>75</v>
      </c>
      <c r="P16" s="1">
        <v>7.5</v>
      </c>
      <c r="Q16" s="1">
        <v>7.5</v>
      </c>
      <c r="X16" s="2">
        <v>1.57</v>
      </c>
      <c r="Z16" s="2">
        <f>calculate_body_Area(Table1[[#This Row],[body mass male]] / 1000)</f>
        <v>2.9303866215484742E-3</v>
      </c>
      <c r="AA16" s="2">
        <f>calculate_body_Area(Table1[[#This Row],[body mass female]] / 1000)</f>
        <v>2.9303866215484742E-3</v>
      </c>
      <c r="AC16" s="2">
        <f xml:space="preserve"> AC2 * SQRT(Table1[[#This Row],[Wingspan male]]  /  N2)</f>
        <v>1.2976319960801133E-2</v>
      </c>
      <c r="AE16" s="1">
        <v>14.5</v>
      </c>
      <c r="AF16" s="1">
        <v>14.5</v>
      </c>
      <c r="AG16" s="2">
        <v>13.48</v>
      </c>
      <c r="AH16" s="2">
        <v>11.49</v>
      </c>
      <c r="AK16" t="s">
        <v>45</v>
      </c>
    </row>
    <row r="17" spans="1:37" x14ac:dyDescent="0.25">
      <c r="A17">
        <v>16</v>
      </c>
      <c r="B17" t="s">
        <v>81</v>
      </c>
      <c r="C17" t="s">
        <v>82</v>
      </c>
      <c r="D17" t="s">
        <v>83</v>
      </c>
      <c r="E17" t="b">
        <v>1</v>
      </c>
      <c r="F17" s="1">
        <v>470</v>
      </c>
      <c r="G17" s="1">
        <v>470</v>
      </c>
      <c r="J17" s="1">
        <v>27.6</v>
      </c>
      <c r="K17" s="1">
        <v>27.6</v>
      </c>
      <c r="L17" s="1">
        <v>37.1</v>
      </c>
      <c r="M17" s="1">
        <v>37.1</v>
      </c>
      <c r="N17" s="1">
        <v>125</v>
      </c>
      <c r="O17" s="1">
        <v>125</v>
      </c>
      <c r="P17" s="1">
        <v>9.25</v>
      </c>
      <c r="Q17" s="1">
        <v>9.25</v>
      </c>
      <c r="X17" s="2">
        <v>1.57</v>
      </c>
      <c r="Z17" s="2">
        <f>calculate_body_Area(Table1[[#This Row],[body mass male]] / 1000)</f>
        <v>3.9497579230188175E-3</v>
      </c>
      <c r="AA17" s="2">
        <f>calculate_body_Area(Table1[[#This Row],[body mass female]] / 1000)</f>
        <v>3.9497579230188175E-3</v>
      </c>
      <c r="AC17" s="2">
        <f xml:space="preserve"> AC16 * SQRT(Table1[[#This Row],[Wingspan male]]  /  N16)</f>
        <v>1.6752357034413891E-2</v>
      </c>
      <c r="AE17" s="1">
        <v>20</v>
      </c>
      <c r="AF17" s="1">
        <v>20</v>
      </c>
      <c r="AG17" s="2">
        <v>12.15</v>
      </c>
      <c r="AH17" s="2">
        <v>13.2</v>
      </c>
      <c r="AK17" t="s">
        <v>45</v>
      </c>
    </row>
    <row r="18" spans="1:37" x14ac:dyDescent="0.25">
      <c r="A18">
        <v>17</v>
      </c>
      <c r="B18" t="s">
        <v>84</v>
      </c>
      <c r="C18" t="s">
        <v>85</v>
      </c>
      <c r="D18" t="s">
        <v>86</v>
      </c>
      <c r="E18" t="b">
        <v>1</v>
      </c>
      <c r="F18" s="1">
        <v>279</v>
      </c>
      <c r="G18" s="1">
        <v>279</v>
      </c>
      <c r="H18" s="1">
        <v>2.2610000000000002E-2</v>
      </c>
      <c r="I18" s="1">
        <v>2.2610000000000002E-2</v>
      </c>
      <c r="J18" s="1">
        <v>36.299999999999997</v>
      </c>
      <c r="K18" s="1">
        <v>36.299999999999997</v>
      </c>
      <c r="L18" s="1">
        <v>35.5</v>
      </c>
      <c r="M18" s="1">
        <v>35.5</v>
      </c>
      <c r="N18" s="1"/>
      <c r="O18" s="1"/>
      <c r="P18" s="1">
        <v>5.46</v>
      </c>
      <c r="Q18" s="1">
        <v>5.46</v>
      </c>
      <c r="R18" s="3">
        <f xml:space="preserve"> calculate_body_I(Table1[[#This Row],[body mass male]]/1000)</f>
        <v>1.5539301191262389E-4</v>
      </c>
      <c r="S18" s="3">
        <f>calculate_wing_I(Table1[[#This Row],[wing mass male]],Table1[[#This Row],[Wing length male]]/100)</f>
        <v>3.274144202202967E-4</v>
      </c>
      <c r="T18" s="3">
        <f xml:space="preserve"> calculate_J(Table1[[#This Row],[wing mass male]],Table1[[#This Row],[Wing length male]] / 100)</f>
        <v>2.2091422018348629E-3</v>
      </c>
      <c r="U18" s="3">
        <f xml:space="preserve"> calculate_body_I(Table1[[#This Row],[body mass female]]/1000)</f>
        <v>1.5539301191262389E-4</v>
      </c>
      <c r="V18" s="3">
        <f xml:space="preserve"> calculate_J(Table1[[#This Row],[wing mass female]],Table1[[#This Row],[Wing length female]] / 100)</f>
        <v>2.2091422018348629E-3</v>
      </c>
      <c r="W18" s="3">
        <f>calculate_wing_I(Table1[[#This Row],[wing mass female]],Table1[[#This Row],[Wing length female]]/100)</f>
        <v>3.274144202202967E-4</v>
      </c>
      <c r="X18" s="2">
        <v>1.57</v>
      </c>
      <c r="Y18" s="1">
        <v>4.4800000000000004</v>
      </c>
      <c r="Z18" s="2">
        <f>calculate_body_Area(Table1[[#This Row],[body mass male]] / 1000)</f>
        <v>2.770478560950443E-3</v>
      </c>
      <c r="AA18" s="2">
        <f>calculate_body_Area(Table1[[#This Row],[body mass female]] / 1000)</f>
        <v>2.770478560950443E-3</v>
      </c>
      <c r="AC18" s="2">
        <f xml:space="preserve"> AC2 * SQRT(Table1[[#This Row],[Wingspan male]]  /  N2)</f>
        <v>0</v>
      </c>
      <c r="AE18" s="1"/>
      <c r="AG18" s="2">
        <v>13.12</v>
      </c>
      <c r="AH18" s="2">
        <v>13.04</v>
      </c>
      <c r="AK18" t="s">
        <v>87</v>
      </c>
    </row>
    <row r="19" spans="1:37" x14ac:dyDescent="0.25">
      <c r="A19">
        <v>18</v>
      </c>
      <c r="B19" t="s">
        <v>88</v>
      </c>
      <c r="C19" t="s">
        <v>89</v>
      </c>
      <c r="D19" t="s">
        <v>90</v>
      </c>
      <c r="E19" t="b">
        <v>1</v>
      </c>
      <c r="F19" s="1">
        <v>398</v>
      </c>
      <c r="G19" s="1">
        <v>398</v>
      </c>
      <c r="H19" s="1">
        <v>3.141E-2</v>
      </c>
      <c r="I19" s="1">
        <v>3.141E-2</v>
      </c>
      <c r="J19" s="1">
        <v>34.799999999999997</v>
      </c>
      <c r="K19" s="1">
        <v>34.799999999999997</v>
      </c>
      <c r="L19" s="1">
        <v>42.1</v>
      </c>
      <c r="M19" s="1">
        <v>42.1</v>
      </c>
      <c r="N19" s="1"/>
      <c r="O19" s="1"/>
      <c r="P19" s="1">
        <v>9.0299999999999994</v>
      </c>
      <c r="Q19" s="1">
        <v>9.0299999999999994</v>
      </c>
      <c r="R19" s="3">
        <f xml:space="preserve"> calculate_body_I(Table1[[#This Row],[body mass male]]/1000)</f>
        <v>2.802427633466753E-4</v>
      </c>
      <c r="S19" s="3">
        <f>calculate_wing_I(Table1[[#This Row],[wing mass male]],Table1[[#This Row],[Wing length male]]/100)</f>
        <v>6.3969456758919494E-4</v>
      </c>
      <c r="T19" s="3">
        <f xml:space="preserve"> calculate_J(Table1[[#This Row],[wing mass male]],Table1[[#This Row],[Wing length male]] / 100)</f>
        <v>3.6395256880733958E-3</v>
      </c>
      <c r="U19" s="3">
        <f xml:space="preserve"> calculate_body_I(Table1[[#This Row],[body mass female]]/1000)</f>
        <v>2.802427633466753E-4</v>
      </c>
      <c r="V19" s="3">
        <f xml:space="preserve"> calculate_J(Table1[[#This Row],[wing mass female]],Table1[[#This Row],[Wing length female]] / 100)</f>
        <v>3.6395256880733958E-3</v>
      </c>
      <c r="W19" s="3">
        <f>calculate_wing_I(Table1[[#This Row],[wing mass female]],Table1[[#This Row],[Wing length female]]/100)</f>
        <v>6.3969456758919494E-4</v>
      </c>
      <c r="X19" s="2">
        <v>1.57</v>
      </c>
      <c r="Z19" s="2">
        <f>calculate_body_Area(Table1[[#This Row],[body mass male]] / 1000)</f>
        <v>3.5274788991687647E-3</v>
      </c>
      <c r="AA19" s="2">
        <f>calculate_body_Area(Table1[[#This Row],[body mass female]] / 1000)</f>
        <v>3.5274788991687647E-3</v>
      </c>
      <c r="AC19" s="2">
        <f xml:space="preserve"> AC2 * SQRT(Table1[[#This Row],[Wingspan male]]  /  N2)</f>
        <v>0</v>
      </c>
      <c r="AE19" s="1">
        <v>21</v>
      </c>
      <c r="AF19" s="1">
        <v>21</v>
      </c>
      <c r="AG19" s="2">
        <v>12.97</v>
      </c>
      <c r="AH19" s="2">
        <v>13.68</v>
      </c>
      <c r="AK19" t="s">
        <v>91</v>
      </c>
    </row>
    <row r="20" spans="1:37" x14ac:dyDescent="0.25">
      <c r="A20">
        <v>19</v>
      </c>
      <c r="B20" t="s">
        <v>92</v>
      </c>
      <c r="C20" t="s">
        <v>93</v>
      </c>
      <c r="D20" t="s">
        <v>94</v>
      </c>
      <c r="E20" t="b">
        <v>0</v>
      </c>
      <c r="F20" s="1">
        <v>163</v>
      </c>
      <c r="G20" s="1">
        <v>163</v>
      </c>
      <c r="H20" s="1">
        <v>1.2449999999999999E-2</v>
      </c>
      <c r="I20" s="1">
        <v>1.2449999999999999E-2</v>
      </c>
      <c r="J20" s="1">
        <v>31.5</v>
      </c>
      <c r="K20" s="1">
        <v>31.5</v>
      </c>
      <c r="L20" s="1">
        <v>27.9</v>
      </c>
      <c r="M20" s="1">
        <v>27.9</v>
      </c>
      <c r="N20" s="1">
        <v>59</v>
      </c>
      <c r="O20" s="1">
        <v>59</v>
      </c>
      <c r="P20" s="1">
        <v>8.4499999999999993</v>
      </c>
      <c r="Q20" s="1">
        <v>8.4499999999999993</v>
      </c>
      <c r="R20" s="3">
        <f xml:space="preserve"> calculate_body_I(Table1[[#This Row],[body mass male]]/1000)</f>
        <v>6.3673677050076456E-5</v>
      </c>
      <c r="S20" s="3">
        <f>calculate_wing_I(Table1[[#This Row],[wing mass male]],Table1[[#This Row],[Wing length male]]/100)</f>
        <v>1.1135719747706421E-4</v>
      </c>
      <c r="T20" s="3">
        <f xml:space="preserve"> calculate_J(Table1[[#This Row],[wing mass male]],Table1[[#This Row],[Wing length male]] / 100)</f>
        <v>9.5602293577981654E-4</v>
      </c>
      <c r="U20" s="3">
        <f xml:space="preserve"> calculate_body_I(Table1[[#This Row],[body mass female]]/1000)</f>
        <v>6.3673677050076456E-5</v>
      </c>
      <c r="V20" s="3">
        <f xml:space="preserve"> calculate_J(Table1[[#This Row],[wing mass female]],Table1[[#This Row],[Wing length female]] / 100)</f>
        <v>9.5602293577981654E-4</v>
      </c>
      <c r="W20" s="3">
        <f>calculate_wing_I(Table1[[#This Row],[wing mass female]],Table1[[#This Row],[Wing length female]]/100)</f>
        <v>1.1135719747706421E-4</v>
      </c>
      <c r="X20" s="2">
        <v>1.57</v>
      </c>
      <c r="Z20" s="2">
        <f>calculate_body_Area(Table1[[#This Row],[body mass male]] / 1000)</f>
        <v>1.9223457706933008E-3</v>
      </c>
      <c r="AA20" s="2">
        <f>calculate_body_Area(Table1[[#This Row],[body mass female]] / 1000)</f>
        <v>1.9223457706933008E-3</v>
      </c>
      <c r="AC20" s="2">
        <f xml:space="preserve"> AC2 * SQRT(Table1[[#This Row],[Wingspan male]]  /  N2)</f>
        <v>1.1509247240823394E-2</v>
      </c>
      <c r="AE20" s="1">
        <v>7.6</v>
      </c>
      <c r="AF20" s="1">
        <v>7.6</v>
      </c>
      <c r="AG20" s="2">
        <v>12.61</v>
      </c>
      <c r="AH20" s="2">
        <v>12.19</v>
      </c>
      <c r="AK20" t="s">
        <v>91</v>
      </c>
    </row>
    <row r="21" spans="1:37" x14ac:dyDescent="0.25">
      <c r="A21">
        <v>20</v>
      </c>
      <c r="B21" t="s">
        <v>95</v>
      </c>
      <c r="C21" t="s">
        <v>96</v>
      </c>
      <c r="D21" t="s">
        <v>97</v>
      </c>
      <c r="E21" t="b">
        <v>0</v>
      </c>
      <c r="F21" s="1">
        <v>256</v>
      </c>
      <c r="G21" s="1">
        <v>256</v>
      </c>
      <c r="H21" s="1">
        <v>1.898E-2</v>
      </c>
      <c r="I21" s="1">
        <v>1.898E-2</v>
      </c>
      <c r="J21" s="1">
        <v>28.5</v>
      </c>
      <c r="K21" s="1">
        <v>28.5</v>
      </c>
      <c r="L21" s="1">
        <v>46.1</v>
      </c>
      <c r="M21" s="1">
        <v>46.1</v>
      </c>
      <c r="N21" s="1">
        <v>93</v>
      </c>
      <c r="O21" s="1">
        <v>93</v>
      </c>
      <c r="P21" s="1">
        <v>9.61</v>
      </c>
      <c r="Q21" s="1">
        <v>9.61</v>
      </c>
      <c r="R21" s="3">
        <f xml:space="preserve"> calculate_body_I(Table1[[#This Row],[body mass male]]/1000)</f>
        <v>1.3471217542744272E-4</v>
      </c>
      <c r="S21" s="3">
        <f>calculate_wing_I(Table1[[#This Row],[wing mass male]],Table1[[#This Row],[Wing length male]]/100)</f>
        <v>4.634881056076567E-4</v>
      </c>
      <c r="T21" s="3">
        <f xml:space="preserve"> calculate_J(Table1[[#This Row],[wing mass male]],Table1[[#This Row],[Wing length male]] / 100)</f>
        <v>2.4081963302752304E-3</v>
      </c>
      <c r="U21" s="3">
        <f xml:space="preserve"> calculate_body_I(Table1[[#This Row],[body mass female]]/1000)</f>
        <v>1.3471217542744272E-4</v>
      </c>
      <c r="V21" s="3">
        <f xml:space="preserve"> calculate_J(Table1[[#This Row],[wing mass female]],Table1[[#This Row],[Wing length female]] / 100)</f>
        <v>2.4081963302752304E-3</v>
      </c>
      <c r="W21" s="3">
        <f>calculate_wing_I(Table1[[#This Row],[wing mass female]],Table1[[#This Row],[Wing length female]]/100)</f>
        <v>4.634881056076567E-4</v>
      </c>
      <c r="X21" s="2">
        <v>1.57</v>
      </c>
      <c r="Y21" s="1">
        <v>3.5</v>
      </c>
      <c r="Z21" s="2">
        <f>calculate_body_Area(Table1[[#This Row],[body mass male]] / 1000)</f>
        <v>2.6130463420499551E-3</v>
      </c>
      <c r="AA21" s="2">
        <f>calculate_body_Area(Table1[[#This Row],[body mass female]] / 1000)</f>
        <v>2.6130463420499551E-3</v>
      </c>
      <c r="AC21" s="2">
        <f xml:space="preserve"> AC20 * SQRT(Table1[[#This Row],[Wingspan male]]  /  N20)</f>
        <v>1.4449818367685684E-2</v>
      </c>
      <c r="AE21" s="1"/>
      <c r="AG21" s="2">
        <v>12.26</v>
      </c>
      <c r="AH21" s="2">
        <v>14.03</v>
      </c>
      <c r="AK21" t="s">
        <v>98</v>
      </c>
    </row>
    <row r="22" spans="1:37" x14ac:dyDescent="0.25">
      <c r="A22" s="4">
        <v>21</v>
      </c>
      <c r="B22" t="s">
        <v>99</v>
      </c>
      <c r="C22" t="s">
        <v>100</v>
      </c>
      <c r="D22" t="s">
        <v>101</v>
      </c>
      <c r="E22" t="b">
        <v>0</v>
      </c>
      <c r="F22" s="1">
        <v>293</v>
      </c>
      <c r="G22" s="1">
        <v>293</v>
      </c>
      <c r="H22" s="1">
        <v>2.247E-2</v>
      </c>
      <c r="I22" s="1">
        <v>2.247E-2</v>
      </c>
      <c r="J22" s="1">
        <v>45.7</v>
      </c>
      <c r="K22" s="1">
        <v>45.7</v>
      </c>
      <c r="L22" s="1">
        <v>32.200000000000003</v>
      </c>
      <c r="M22" s="1">
        <v>32.200000000000003</v>
      </c>
      <c r="N22" s="2">
        <v>70</v>
      </c>
      <c r="O22" s="2">
        <v>70</v>
      </c>
      <c r="P22" s="1">
        <v>8.25</v>
      </c>
      <c r="Q22" s="1">
        <v>8.25</v>
      </c>
      <c r="R22" s="3">
        <f xml:space="preserve"> calculate_body_I(Table1[[#This Row],[body mass male]]/1000)</f>
        <v>1.6855E-4</v>
      </c>
      <c r="S22" s="3">
        <f>calculate_wing_I(Table1[[#This Row],[wing mass male]],Table1[[#This Row],[Wing length male]]/100)</f>
        <v>2.6770430201155288E-4</v>
      </c>
      <c r="T22" s="3">
        <f xml:space="preserve"> calculate_J(Table1[[#This Row],[wing mass male]],Table1[[#This Row],[Wing length male]] / 100)</f>
        <v>1.9913779816513764E-3</v>
      </c>
      <c r="U22" s="3">
        <f xml:space="preserve"> calculate_body_I(Table1[[#This Row],[body mass female]]/1000)</f>
        <v>1.6855E-4</v>
      </c>
      <c r="V22" s="3">
        <f xml:space="preserve"> calculate_J(Table1[[#This Row],[wing mass female]],Table1[[#This Row],[Wing length female]] / 100)</f>
        <v>1.9913779816513764E-3</v>
      </c>
      <c r="W22" s="3">
        <f>calculate_wing_I(Table1[[#This Row],[wing mass female]],Table1[[#This Row],[Wing length female]]/100)</f>
        <v>2.6770430201155288E-4</v>
      </c>
      <c r="X22" s="2">
        <v>1.57</v>
      </c>
      <c r="Y22" s="1">
        <v>6.71</v>
      </c>
      <c r="Z22" s="2">
        <f>calculate_body_Area(Table1[[#This Row],[body mass male]] / 1000)</f>
        <v>2.8642697567037791E-3</v>
      </c>
      <c r="AA22" s="2">
        <f>calculate_body_Area(Table1[[#This Row],[body mass female]] / 1000)</f>
        <v>2.8642697567037791E-3</v>
      </c>
      <c r="AC22" s="2">
        <f xml:space="preserve"> AC21 * SQRT(Table1[[#This Row],[Wingspan male]]  /  N21)</f>
        <v>1.2536316088737827E-2</v>
      </c>
      <c r="AD22" s="4">
        <v>0.43</v>
      </c>
      <c r="AE22" s="1">
        <v>11.6</v>
      </c>
      <c r="AF22" s="1">
        <v>11.6</v>
      </c>
      <c r="AG22" s="2">
        <v>14</v>
      </c>
      <c r="AH22" s="2">
        <v>12.7</v>
      </c>
      <c r="AK22" t="s">
        <v>98</v>
      </c>
    </row>
    <row r="23" spans="1:37" x14ac:dyDescent="0.25">
      <c r="A23">
        <v>22</v>
      </c>
      <c r="B23" t="s">
        <v>102</v>
      </c>
      <c r="C23" t="s">
        <v>103</v>
      </c>
      <c r="D23" t="s">
        <v>104</v>
      </c>
      <c r="E23" t="b">
        <v>0</v>
      </c>
      <c r="F23" s="1">
        <v>34.299999999999997</v>
      </c>
      <c r="G23" s="1">
        <v>34</v>
      </c>
      <c r="H23" s="1">
        <v>1.5499999999999999E-3</v>
      </c>
      <c r="I23" s="1">
        <v>1.5499999999999999E-3</v>
      </c>
      <c r="J23" s="1">
        <v>26.9</v>
      </c>
      <c r="K23" s="1">
        <v>26.9</v>
      </c>
      <c r="L23" s="1">
        <v>13</v>
      </c>
      <c r="M23" s="1">
        <v>13</v>
      </c>
      <c r="N23" s="1">
        <v>29</v>
      </c>
      <c r="O23" s="1">
        <v>29</v>
      </c>
      <c r="P23" s="1">
        <v>5.63</v>
      </c>
      <c r="Q23" s="1">
        <v>5.63</v>
      </c>
      <c r="R23" s="3">
        <f xml:space="preserve"> calculate_body_I(Table1[[#This Row],[body mass male]]/1000)</f>
        <v>4.7897930152285253E-6</v>
      </c>
      <c r="S23" s="3">
        <f>calculate_wing_I(Table1[[#This Row],[wing mass male]],Table1[[#This Row],[Wing length male]]/100)</f>
        <v>3.0099476158115306E-6</v>
      </c>
      <c r="T23" s="3">
        <f xml:space="preserve"> calculate_J(Table1[[#This Row],[wing mass male]],Table1[[#This Row],[Wing length male]] / 100)</f>
        <v>5.545871559633029E-5</v>
      </c>
      <c r="U23" s="3">
        <f xml:space="preserve"> calculate_body_I(Table1[[#This Row],[body mass female]]/1000)</f>
        <v>4.7204511684933677E-6</v>
      </c>
      <c r="V23" s="3">
        <f xml:space="preserve"> calculate_J(Table1[[#This Row],[wing mass female]],Table1[[#This Row],[Wing length female]] / 100)</f>
        <v>5.545871559633029E-5</v>
      </c>
      <c r="W23" s="3">
        <f>calculate_wing_I(Table1[[#This Row],[wing mass female]],Table1[[#This Row],[Wing length female]]/100)</f>
        <v>3.0099476158115306E-6</v>
      </c>
      <c r="X23" s="2">
        <v>1.57</v>
      </c>
      <c r="Z23" s="2">
        <f>calculate_body_Area(Table1[[#This Row],[body mass male]] / 1000)</f>
        <v>6.6610690730924821E-4</v>
      </c>
      <c r="AA23" s="2">
        <f>calculate_body_Area(Table1[[#This Row],[body mass female]] / 1000)</f>
        <v>6.6213965641890552E-4</v>
      </c>
      <c r="AC23" s="2">
        <f xml:space="preserve"> AC2 * SQRT(Table1[[#This Row],[Wingspan male]]  /  N2)</f>
        <v>8.0690036659036499E-3</v>
      </c>
      <c r="AD23" s="4">
        <v>0.43</v>
      </c>
      <c r="AE23" s="1">
        <v>5</v>
      </c>
      <c r="AF23" s="1">
        <v>5</v>
      </c>
      <c r="AG23" s="2">
        <v>12.07</v>
      </c>
      <c r="AH23" s="2">
        <v>9.84</v>
      </c>
      <c r="AK23" t="s">
        <v>98</v>
      </c>
    </row>
    <row r="24" spans="1:37" x14ac:dyDescent="0.25">
      <c r="A24">
        <v>23</v>
      </c>
      <c r="B24" t="s">
        <v>105</v>
      </c>
      <c r="C24" t="s">
        <v>106</v>
      </c>
      <c r="D24" t="s">
        <v>145</v>
      </c>
      <c r="E24" t="b">
        <v>0</v>
      </c>
      <c r="F24" s="1">
        <v>179</v>
      </c>
      <c r="G24" s="1">
        <v>179</v>
      </c>
      <c r="H24" s="1">
        <v>1.175E-2</v>
      </c>
      <c r="I24" s="1">
        <v>1.175E-2</v>
      </c>
      <c r="J24" s="1">
        <v>38</v>
      </c>
      <c r="K24" s="1">
        <v>38</v>
      </c>
      <c r="L24" s="1">
        <v>23.5</v>
      </c>
      <c r="M24" s="1">
        <v>23.5</v>
      </c>
      <c r="N24" s="1">
        <v>51</v>
      </c>
      <c r="O24" s="1">
        <v>51</v>
      </c>
      <c r="P24" s="1">
        <v>5.65</v>
      </c>
      <c r="Q24" s="1">
        <v>5.65</v>
      </c>
      <c r="R24" s="3">
        <f xml:space="preserve"> calculate_body_I(Table1[[#This Row],[body mass male]]/1000)</f>
        <v>7.4381432565936051E-5</v>
      </c>
      <c r="S24" s="3">
        <f>calculate_wing_I(Table1[[#This Row],[wing mass male]],Table1[[#This Row],[Wing length male]]/100)</f>
        <v>7.4561412320194826E-5</v>
      </c>
      <c r="T24" s="3">
        <f xml:space="preserve"> calculate_J(Table1[[#This Row],[wing mass male]],Table1[[#This Row],[Wing length male]] / 100)</f>
        <v>7.5997706422018365E-4</v>
      </c>
      <c r="U24" s="3">
        <f xml:space="preserve"> calculate_body_I(Table1[[#This Row],[body mass female]]/1000)</f>
        <v>7.4381432565936051E-5</v>
      </c>
      <c r="V24" s="3">
        <f xml:space="preserve"> calculate_J(Table1[[#This Row],[wing mass female]],Table1[[#This Row],[Wing length female]] / 100)</f>
        <v>7.5997706422018365E-4</v>
      </c>
      <c r="W24" s="3">
        <f>calculate_wing_I(Table1[[#This Row],[wing mass female]],Table1[[#This Row],[Wing length female]]/100)</f>
        <v>7.4561412320194826E-5</v>
      </c>
      <c r="X24" s="2">
        <v>1.57</v>
      </c>
      <c r="Z24" s="2">
        <f>calculate_body_Area(Table1[[#This Row],[body mass male]] / 1000)</f>
        <v>2.0487265546905681E-3</v>
      </c>
      <c r="AA24" s="2">
        <f>calculate_body_Area(Table1[[#This Row],[body mass female]] / 1000)</f>
        <v>2.0487265546905681E-3</v>
      </c>
      <c r="AC24" s="2">
        <f xml:space="preserve"> AC23 * SQRT(Table1[[#This Row],[Wingspan male]]  /  N23)</f>
        <v>1.0700547566038776E-2</v>
      </c>
      <c r="AD24" s="4">
        <v>0.43</v>
      </c>
      <c r="AE24" s="1"/>
      <c r="AG24" s="2">
        <v>13.29</v>
      </c>
      <c r="AH24" s="2">
        <v>11.62</v>
      </c>
      <c r="AK24" t="s">
        <v>98</v>
      </c>
    </row>
    <row r="25" spans="1:37" x14ac:dyDescent="0.25">
      <c r="A25">
        <v>24</v>
      </c>
      <c r="B25" t="s">
        <v>107</v>
      </c>
      <c r="C25" t="s">
        <v>108</v>
      </c>
      <c r="D25" t="s">
        <v>109</v>
      </c>
      <c r="E25" t="b">
        <v>0</v>
      </c>
      <c r="F25" s="1">
        <v>62.9</v>
      </c>
      <c r="G25" s="1">
        <v>62</v>
      </c>
      <c r="H25" s="1">
        <v>4.1700000000000001E-3</v>
      </c>
      <c r="I25" s="1">
        <v>4.1700000000000001E-3</v>
      </c>
      <c r="J25" s="1">
        <v>25</v>
      </c>
      <c r="K25" s="1">
        <v>25</v>
      </c>
      <c r="L25" s="1">
        <v>19</v>
      </c>
      <c r="M25" s="1">
        <v>19</v>
      </c>
      <c r="N25" s="1">
        <v>41</v>
      </c>
      <c r="O25" s="1">
        <v>41</v>
      </c>
      <c r="P25" s="1">
        <v>8.07</v>
      </c>
      <c r="Q25" s="1">
        <v>8.07</v>
      </c>
      <c r="R25" s="3">
        <f xml:space="preserve"> calculate_body_I(Table1[[#This Row],[body mass male]]/1000)</f>
        <v>1.3106555730389332E-5</v>
      </c>
      <c r="S25" s="3">
        <f>calculate_wing_I(Table1[[#This Row],[wing mass male]],Table1[[#This Row],[Wing length male]]/100)</f>
        <v>1.7297518008834527E-5</v>
      </c>
      <c r="T25" s="3">
        <f xml:space="preserve"> calculate_J(Table1[[#This Row],[wing mass male]],Table1[[#This Row],[Wing length male]] / 100)</f>
        <v>2.1806422018348629E-4</v>
      </c>
      <c r="U25" s="3">
        <f xml:space="preserve"> calculate_body_I(Table1[[#This Row],[body mass female]]/1000)</f>
        <v>1.2796721302689007E-5</v>
      </c>
      <c r="V25" s="3">
        <f xml:space="preserve"> calculate_J(Table1[[#This Row],[wing mass female]],Table1[[#This Row],[Wing length female]] / 100)</f>
        <v>2.1806422018348629E-4</v>
      </c>
      <c r="W25" s="3">
        <f>calculate_wing_I(Table1[[#This Row],[wing mass female]],Table1[[#This Row],[Wing length female]]/100)</f>
        <v>1.7297518008834527E-5</v>
      </c>
      <c r="X25" s="2">
        <v>1.57</v>
      </c>
      <c r="Z25" s="2">
        <f>calculate_body_Area(Table1[[#This Row],[body mass male]] / 1000)</f>
        <v>1.0060657733912063E-3</v>
      </c>
      <c r="AA25" s="2">
        <f>calculate_body_Area(Table1[[#This Row],[body mass female]] / 1000)</f>
        <v>9.9625447320531978E-4</v>
      </c>
      <c r="AC25" s="2">
        <f xml:space="preserve"> AC24 * SQRT(Table1[[#This Row],[Wingspan male]]  /  N24)</f>
        <v>9.5942900162742772E-3</v>
      </c>
      <c r="AD25" s="4">
        <v>0.43</v>
      </c>
      <c r="AE25" s="1">
        <v>7.5</v>
      </c>
      <c r="AF25" s="1">
        <v>7.5</v>
      </c>
      <c r="AG25" s="2">
        <v>11.82</v>
      </c>
      <c r="AH25" s="2">
        <v>10.95</v>
      </c>
      <c r="AK25" t="s">
        <v>98</v>
      </c>
    </row>
    <row r="26" spans="1:37" x14ac:dyDescent="0.25">
      <c r="A26" s="4">
        <v>25</v>
      </c>
      <c r="B26" t="s">
        <v>110</v>
      </c>
      <c r="C26" t="s">
        <v>111</v>
      </c>
      <c r="D26" t="s">
        <v>146</v>
      </c>
      <c r="E26" t="b">
        <v>0</v>
      </c>
      <c r="F26" s="1">
        <v>15.2</v>
      </c>
      <c r="G26" s="1">
        <v>15</v>
      </c>
      <c r="H26" s="1">
        <v>8.4999999999999995E-4</v>
      </c>
      <c r="I26" s="1">
        <v>8.4999999999999995E-4</v>
      </c>
      <c r="J26" s="1">
        <v>14.2</v>
      </c>
      <c r="K26" s="1">
        <v>14.2</v>
      </c>
      <c r="L26" s="1">
        <v>14</v>
      </c>
      <c r="M26" s="1">
        <v>14</v>
      </c>
      <c r="N26" s="1">
        <v>29</v>
      </c>
      <c r="O26" s="1">
        <v>29</v>
      </c>
      <c r="P26" s="1">
        <v>8.41</v>
      </c>
      <c r="Q26" s="1">
        <v>8.41</v>
      </c>
      <c r="R26" s="3">
        <f xml:space="preserve"> calculate_body_I(Table1[[#This Row],[body mass male]]/1000)</f>
        <v>1.2404774191318569E-6</v>
      </c>
      <c r="S26" s="3">
        <f>calculate_wing_I(Table1[[#This Row],[wing mass male]],Table1[[#This Row],[Wing length male]]/100)</f>
        <v>1.9143243855476274E-6</v>
      </c>
      <c r="T26" s="3">
        <f xml:space="preserve"> calculate_J(Table1[[#This Row],[wing mass male]],Table1[[#This Row],[Wing length male]] / 100)</f>
        <v>3.2752293577981662E-5</v>
      </c>
      <c r="U26" s="3">
        <f xml:space="preserve"> calculate_body_I(Table1[[#This Row],[body mass female]]/1000)</f>
        <v>1.2135006047562337E-6</v>
      </c>
      <c r="V26" s="3">
        <f xml:space="preserve"> calculate_J(Table1[[#This Row],[wing mass female]],Table1[[#This Row],[Wing length female]] / 100)</f>
        <v>3.2752293577981662E-5</v>
      </c>
      <c r="W26" s="3">
        <f>calculate_wing_I(Table1[[#This Row],[wing mass female]],Table1[[#This Row],[Wing length female]]/100)</f>
        <v>1.9143243855476274E-6</v>
      </c>
      <c r="X26" s="2">
        <v>1.57</v>
      </c>
      <c r="Y26" s="1">
        <v>9.35</v>
      </c>
      <c r="Z26" s="2">
        <f>calculate_body_Area(Table1[[#This Row],[body mass male]] / 1000)</f>
        <v>3.8299894294655846E-4</v>
      </c>
      <c r="AA26" s="2">
        <f>calculate_body_Area(Table1[[#This Row],[body mass female]] / 1000)</f>
        <v>3.7956485382556818E-4</v>
      </c>
      <c r="AC26" s="2">
        <f xml:space="preserve"> AC25 * SQRT(Table1[[#This Row],[Wingspan male]]  /  N25)</f>
        <v>8.0690036659036481E-3</v>
      </c>
      <c r="AD26" s="4">
        <v>0.43</v>
      </c>
      <c r="AE26" s="1">
        <v>4.5</v>
      </c>
      <c r="AF26" s="1">
        <v>4.5</v>
      </c>
      <c r="AG26" s="2">
        <v>10.09</v>
      </c>
      <c r="AH26" s="2">
        <v>10.050000000000001</v>
      </c>
      <c r="AK26" t="s">
        <v>98</v>
      </c>
    </row>
    <row r="27" spans="1:37" x14ac:dyDescent="0.25">
      <c r="A27">
        <v>26</v>
      </c>
      <c r="B27" t="s">
        <v>112</v>
      </c>
      <c r="C27" t="s">
        <v>113</v>
      </c>
      <c r="D27" t="s">
        <v>114</v>
      </c>
      <c r="E27" t="b">
        <v>0</v>
      </c>
      <c r="F27" s="1">
        <v>15</v>
      </c>
      <c r="G27" s="1">
        <v>15</v>
      </c>
      <c r="H27" s="1">
        <v>6.8999999999999997E-4</v>
      </c>
      <c r="I27" s="1">
        <v>6.8999999999999997E-4</v>
      </c>
      <c r="J27" s="1">
        <v>15.7</v>
      </c>
      <c r="K27" s="1">
        <v>15.7</v>
      </c>
      <c r="L27" s="1">
        <v>10.8</v>
      </c>
      <c r="M27" s="1">
        <v>10.8</v>
      </c>
      <c r="N27" s="1">
        <v>22</v>
      </c>
      <c r="O27" s="1">
        <v>22</v>
      </c>
      <c r="P27" s="1">
        <v>5.38</v>
      </c>
      <c r="Q27" s="1">
        <v>5.38</v>
      </c>
      <c r="R27" s="3">
        <f xml:space="preserve"> calculate_body_I(Table1[[#This Row],[body mass male]]/1000)</f>
        <v>1.2135006047562337E-6</v>
      </c>
      <c r="S27" s="3">
        <f>calculate_wing_I(Table1[[#This Row],[wing mass male]],Table1[[#This Row],[Wing length male]]/100)</f>
        <v>9.2477724770642237E-7</v>
      </c>
      <c r="T27" s="3">
        <f xml:space="preserve"> calculate_J(Table1[[#This Row],[wing mass male]],Table1[[#This Row],[Wing length male]] / 100)</f>
        <v>2.0510091743119275E-5</v>
      </c>
      <c r="U27" s="3">
        <f xml:space="preserve"> calculate_body_I(Table1[[#This Row],[body mass female]]/1000)</f>
        <v>1.2135006047562337E-6</v>
      </c>
      <c r="V27" s="3">
        <f xml:space="preserve"> calculate_J(Table1[[#This Row],[wing mass female]],Table1[[#This Row],[Wing length female]] / 100)</f>
        <v>2.0510091743119275E-5</v>
      </c>
      <c r="W27" s="3">
        <f>calculate_wing_I(Table1[[#This Row],[wing mass female]],Table1[[#This Row],[Wing length female]]/100)</f>
        <v>9.2477724770642237E-7</v>
      </c>
      <c r="X27" s="2">
        <v>1.57</v>
      </c>
      <c r="Y27" s="1">
        <v>16.100000000000001</v>
      </c>
      <c r="Z27" s="2">
        <f>calculate_body_Area(Table1[[#This Row],[body mass male]] / 1000)</f>
        <v>3.7956485382556818E-4</v>
      </c>
      <c r="AA27" s="2">
        <f>calculate_body_Area(Table1[[#This Row],[body mass female]] / 1000)</f>
        <v>3.7956485382556818E-4</v>
      </c>
      <c r="AC27" s="2">
        <v>1.4E-2</v>
      </c>
      <c r="AD27" s="1">
        <v>0.35</v>
      </c>
      <c r="AE27" s="1">
        <v>6.7</v>
      </c>
      <c r="AF27" s="1">
        <v>6.4</v>
      </c>
      <c r="AG27" s="2">
        <v>10.38</v>
      </c>
      <c r="AH27" s="2">
        <v>9.35</v>
      </c>
      <c r="AK27" t="s">
        <v>98</v>
      </c>
    </row>
    <row r="28" spans="1:37" x14ac:dyDescent="0.25">
      <c r="A28">
        <v>27</v>
      </c>
      <c r="B28" t="s">
        <v>115</v>
      </c>
      <c r="C28" t="s">
        <v>116</v>
      </c>
      <c r="D28" t="s">
        <v>117</v>
      </c>
      <c r="E28" t="b">
        <v>0</v>
      </c>
      <c r="F28" s="1">
        <v>56.2</v>
      </c>
      <c r="G28" s="1">
        <v>56</v>
      </c>
      <c r="H28" s="1">
        <v>3.14E-3</v>
      </c>
      <c r="I28" s="1">
        <v>3.14E-3</v>
      </c>
      <c r="J28" s="1">
        <v>21.5</v>
      </c>
      <c r="K28" s="1">
        <v>21.5</v>
      </c>
      <c r="L28" s="1">
        <v>18.399999999999999</v>
      </c>
      <c r="M28" s="1">
        <v>18.399999999999999</v>
      </c>
      <c r="N28" s="1"/>
      <c r="O28" s="1"/>
      <c r="P28" s="1">
        <v>5.55</v>
      </c>
      <c r="Q28" s="1">
        <v>5.55</v>
      </c>
      <c r="R28" s="3">
        <f xml:space="preserve"> calculate_body_I(Table1[[#This Row],[body mass male]]/1000)</f>
        <v>1.0871533061066403E-5</v>
      </c>
      <c r="S28" s="3">
        <f>calculate_wing_I(Table1[[#This Row],[wing mass male]],Table1[[#This Row],[Wing length male]]/100)</f>
        <v>1.2215347568241026E-5</v>
      </c>
      <c r="T28" s="3">
        <f xml:space="preserve"> calculate_J(Table1[[#This Row],[wing mass male]],Table1[[#This Row],[Wing length male]] / 100)</f>
        <v>1.5901651376146794E-4</v>
      </c>
      <c r="U28" s="3">
        <f xml:space="preserve"> calculate_body_I(Table1[[#This Row],[body mass female]]/1000)</f>
        <v>1.080738522250009E-5</v>
      </c>
      <c r="V28" s="3">
        <f xml:space="preserve"> calculate_J(Table1[[#This Row],[wing mass female]],Table1[[#This Row],[Wing length female]] / 100)</f>
        <v>1.5901651376146794E-4</v>
      </c>
      <c r="W28" s="3">
        <f>calculate_wing_I(Table1[[#This Row],[wing mass female]],Table1[[#This Row],[Wing length female]]/100)</f>
        <v>1.2215347568241026E-5</v>
      </c>
      <c r="X28" s="2">
        <v>1.57</v>
      </c>
      <c r="Y28" s="1">
        <v>8.5500000000000007</v>
      </c>
      <c r="Z28" s="2">
        <f>calculate_body_Area(Table1[[#This Row],[body mass male]] / 1000)</f>
        <v>9.3188995436487389E-4</v>
      </c>
      <c r="AA28" s="2">
        <f>calculate_body_Area(Table1[[#This Row],[body mass female]] / 1000)</f>
        <v>9.2963356094033392E-4</v>
      </c>
      <c r="AC28" s="2">
        <f xml:space="preserve"> AC27 * SQRT(Table1[[#This Row],[Wingspan male]]  /  N27)</f>
        <v>0</v>
      </c>
      <c r="AD28" s="4">
        <v>0.43</v>
      </c>
      <c r="AG28" s="2">
        <v>11.33</v>
      </c>
      <c r="AH28" s="2">
        <v>10.85</v>
      </c>
      <c r="AK28" t="s">
        <v>98</v>
      </c>
    </row>
    <row r="29" spans="1:37" x14ac:dyDescent="0.25">
      <c r="A29">
        <v>28</v>
      </c>
      <c r="B29" t="s">
        <v>118</v>
      </c>
      <c r="C29" t="s">
        <v>119</v>
      </c>
      <c r="D29" t="s">
        <v>120</v>
      </c>
      <c r="E29" t="b">
        <v>0</v>
      </c>
      <c r="F29" s="1">
        <v>67.599999999999994</v>
      </c>
      <c r="G29" s="1">
        <v>68</v>
      </c>
      <c r="H29" s="1">
        <v>3.3899999999999998E-3</v>
      </c>
      <c r="I29" s="1">
        <v>3.3899999999999998E-3</v>
      </c>
      <c r="J29" s="1">
        <v>32.299999999999997</v>
      </c>
      <c r="K29" s="1">
        <v>32.299999999999997</v>
      </c>
      <c r="L29" s="1">
        <v>17.100000000000001</v>
      </c>
      <c r="M29" s="1">
        <v>17.100000000000001</v>
      </c>
      <c r="N29" s="1">
        <v>37</v>
      </c>
      <c r="O29" s="1">
        <v>37</v>
      </c>
      <c r="P29" s="1">
        <v>6.17</v>
      </c>
      <c r="Q29" s="1">
        <v>6.17</v>
      </c>
      <c r="R29" s="3">
        <f xml:space="preserve"> calculate_body_I(Table1[[#This Row],[body mass male]]/1000)</f>
        <v>1.4772024604007041E-5</v>
      </c>
      <c r="S29" s="3">
        <f>calculate_wing_I(Table1[[#This Row],[wing mass male]],Table1[[#This Row],[Wing length male]]/100)</f>
        <v>1.1390228944954132E-5</v>
      </c>
      <c r="T29" s="3">
        <f xml:space="preserve"> calculate_J(Table1[[#This Row],[wing mass male]],Table1[[#This Row],[Wing length male]] / 100)</f>
        <v>1.5954770642201838E-4</v>
      </c>
      <c r="U29" s="3">
        <f xml:space="preserve"> calculate_body_I(Table1[[#This Row],[body mass female]]/1000)</f>
        <v>1.4917405734974045E-5</v>
      </c>
      <c r="V29" s="3">
        <f xml:space="preserve"> calculate_J(Table1[[#This Row],[wing mass female]],Table1[[#This Row],[Wing length female]] / 100)</f>
        <v>1.5954770642201838E-4</v>
      </c>
      <c r="W29" s="3">
        <f>calculate_wing_I(Table1[[#This Row],[wing mass female]],Table1[[#This Row],[Wing length female]]/100)</f>
        <v>1.1390228944954132E-5</v>
      </c>
      <c r="X29" s="2">
        <v>1.57</v>
      </c>
      <c r="Y29" s="1">
        <v>10</v>
      </c>
      <c r="Z29" s="2">
        <f>calculate_body_Area(Table1[[#This Row],[body mass male]] / 1000)</f>
        <v>1.0565929018375687E-3</v>
      </c>
      <c r="AA29" s="2">
        <f>calculate_body_Area(Table1[[#This Row],[body mass female]] / 1000)</f>
        <v>1.0608402670294541E-3</v>
      </c>
      <c r="AC29" s="2">
        <f xml:space="preserve"> AC2 * SQRT(Table1[[#This Row],[Wingspan male]]  /  N2)</f>
        <v>9.1142676062154898E-3</v>
      </c>
      <c r="AD29" s="4">
        <v>0.43</v>
      </c>
      <c r="AG29" s="2">
        <v>12.7</v>
      </c>
      <c r="AH29" s="2">
        <v>10.63</v>
      </c>
      <c r="AK29" t="s">
        <v>98</v>
      </c>
    </row>
    <row r="30" spans="1:37" x14ac:dyDescent="0.25">
      <c r="A30">
        <v>29</v>
      </c>
      <c r="B30" t="s">
        <v>121</v>
      </c>
      <c r="C30" t="s">
        <v>122</v>
      </c>
      <c r="D30" t="s">
        <v>123</v>
      </c>
      <c r="E30" t="b">
        <v>0</v>
      </c>
      <c r="F30" s="1">
        <v>14.6</v>
      </c>
      <c r="G30" s="1">
        <v>15</v>
      </c>
      <c r="H30" s="1">
        <v>8.4000000000000003E-4</v>
      </c>
      <c r="I30" s="1">
        <v>8.4000000000000003E-4</v>
      </c>
      <c r="J30" s="1">
        <v>14.2</v>
      </c>
      <c r="K30" s="1">
        <v>14.2</v>
      </c>
      <c r="L30" s="1">
        <v>11.2</v>
      </c>
      <c r="M30" s="1">
        <v>11.2</v>
      </c>
      <c r="N30" s="1">
        <v>23</v>
      </c>
      <c r="O30" s="1">
        <v>23</v>
      </c>
      <c r="P30" s="1">
        <v>4.41</v>
      </c>
      <c r="Q30" s="1">
        <v>4.41</v>
      </c>
      <c r="R30" s="3">
        <f xml:space="preserve"> calculate_body_I(Table1[[#This Row],[body mass male]]/1000)</f>
        <v>1.1602571346756886E-6</v>
      </c>
      <c r="S30" s="3">
        <f>calculate_wing_I(Table1[[#This Row],[wing mass male]],Table1[[#This Row],[Wing length male]]/100)</f>
        <v>1.2107538702004754E-6</v>
      </c>
      <c r="T30" s="3">
        <f xml:space="preserve"> calculate_J(Table1[[#This Row],[wing mass male]],Table1[[#This Row],[Wing length male]] / 100)</f>
        <v>2.5893577981651381E-5</v>
      </c>
      <c r="U30" s="3">
        <f xml:space="preserve"> calculate_body_I(Table1[[#This Row],[body mass female]]/1000)</f>
        <v>1.2135006047562337E-6</v>
      </c>
      <c r="V30" s="3">
        <f xml:space="preserve"> calculate_J(Table1[[#This Row],[wing mass female]],Table1[[#This Row],[Wing length female]] / 100)</f>
        <v>2.5893577981651381E-5</v>
      </c>
      <c r="W30" s="3">
        <f>calculate_wing_I(Table1[[#This Row],[wing mass female]],Table1[[#This Row],[Wing length female]]/100)</f>
        <v>1.2107538702004754E-6</v>
      </c>
      <c r="X30" s="2">
        <v>1.57</v>
      </c>
      <c r="Z30" s="2">
        <f>calculate_body_Area(Table1[[#This Row],[body mass male]] / 1000)</f>
        <v>3.7265236130594958E-4</v>
      </c>
      <c r="AA30" s="2">
        <f>calculate_body_Area(Table1[[#This Row],[body mass female]] / 1000)</f>
        <v>3.7956485382556818E-4</v>
      </c>
      <c r="AC30" s="2">
        <f xml:space="preserve"> AC29 * SQRT(Table1[[#This Row],[Wingspan male]]  /  N29)</f>
        <v>7.1859606026167212E-3</v>
      </c>
      <c r="AD30" s="4">
        <v>0.43</v>
      </c>
      <c r="AG30" s="2">
        <v>10.09</v>
      </c>
      <c r="AH30" s="2">
        <v>9.44</v>
      </c>
      <c r="AK30" t="s">
        <v>98</v>
      </c>
    </row>
    <row r="31" spans="1:37" x14ac:dyDescent="0.25">
      <c r="A31">
        <v>30</v>
      </c>
      <c r="B31" t="s">
        <v>124</v>
      </c>
      <c r="C31" t="s">
        <v>125</v>
      </c>
      <c r="D31" t="s">
        <v>126</v>
      </c>
      <c r="E31" t="b">
        <v>0</v>
      </c>
      <c r="F31" s="1">
        <v>9.5</v>
      </c>
      <c r="G31" s="1">
        <v>10</v>
      </c>
      <c r="H31" s="1">
        <v>4.8000000000000001E-4</v>
      </c>
      <c r="I31" s="1">
        <v>4.8000000000000001E-4</v>
      </c>
      <c r="J31" s="1">
        <v>11.6</v>
      </c>
      <c r="K31" s="1">
        <v>11.6</v>
      </c>
      <c r="L31" s="1">
        <v>9.5</v>
      </c>
      <c r="M31" s="1">
        <v>9.5</v>
      </c>
      <c r="N31" s="1">
        <v>20</v>
      </c>
      <c r="O31" s="1">
        <v>20</v>
      </c>
      <c r="P31" s="1">
        <v>4.05</v>
      </c>
      <c r="Q31" s="1">
        <v>4.05</v>
      </c>
      <c r="R31" s="3">
        <f xml:space="preserve"> calculate_body_I(Table1[[#This Row],[body mass male]]/1000)</f>
        <v>5.6852516361194705E-7</v>
      </c>
      <c r="S31" s="3">
        <f>calculate_wing_I(Table1[[#This Row],[wing mass male]],Table1[[#This Row],[Wing length male]]/100)</f>
        <v>4.9777030241250449E-7</v>
      </c>
      <c r="T31" s="3">
        <f xml:space="preserve"> calculate_J(Table1[[#This Row],[wing mass male]],Table1[[#This Row],[Wing length male]] / 100)</f>
        <v>1.2550458715596334E-5</v>
      </c>
      <c r="U31" s="3">
        <f xml:space="preserve"> calculate_body_I(Table1[[#This Row],[body mass female]]/1000)</f>
        <v>6.1905396143575853E-7</v>
      </c>
      <c r="V31" s="3">
        <f xml:space="preserve"> calculate_J(Table1[[#This Row],[wing mass female]],Table1[[#This Row],[Wing length female]] / 100)</f>
        <v>1.2550458715596334E-5</v>
      </c>
      <c r="W31" s="3">
        <f>calculate_wing_I(Table1[[#This Row],[wing mass female]],Table1[[#This Row],[Wing length female]]/100)</f>
        <v>4.9777030241250449E-7</v>
      </c>
      <c r="X31" s="2">
        <v>1.57</v>
      </c>
      <c r="Z31" s="2">
        <f>calculate_body_Area(Table1[[#This Row],[body mass male]] / 1000)</f>
        <v>2.7822489496996867E-4</v>
      </c>
      <c r="AA31" s="2">
        <f>calculate_body_Area(Table1[[#This Row],[body mass female]] / 1000)</f>
        <v>2.8810044927850959E-4</v>
      </c>
      <c r="AC31" s="2">
        <f xml:space="preserve"> AC30 * SQRT(Table1[[#This Row],[Wingspan male]]  /  N30)</f>
        <v>6.7009428137655555E-3</v>
      </c>
      <c r="AD31" s="4">
        <v>0.43</v>
      </c>
      <c r="AG31" s="2">
        <v>9.5299999999999994</v>
      </c>
      <c r="AH31" s="2">
        <v>9.02</v>
      </c>
      <c r="AK31" t="s">
        <v>98</v>
      </c>
    </row>
    <row r="32" spans="1:37" x14ac:dyDescent="0.25">
      <c r="A32">
        <v>31</v>
      </c>
      <c r="B32" t="s">
        <v>127</v>
      </c>
      <c r="C32" t="s">
        <v>128</v>
      </c>
      <c r="D32" t="s">
        <v>129</v>
      </c>
      <c r="E32" t="b">
        <v>0</v>
      </c>
      <c r="F32" s="1">
        <v>19.899999999999999</v>
      </c>
      <c r="G32" s="1">
        <v>20</v>
      </c>
      <c r="H32" s="1">
        <v>1.1000000000000001E-3</v>
      </c>
      <c r="I32" s="1">
        <v>1.1000000000000001E-3</v>
      </c>
      <c r="J32" s="1">
        <v>17.600000000000001</v>
      </c>
      <c r="K32" s="1">
        <v>17.600000000000001</v>
      </c>
      <c r="L32" s="1">
        <v>11.6</v>
      </c>
      <c r="M32" s="1">
        <v>11.6</v>
      </c>
      <c r="N32" s="1">
        <v>25</v>
      </c>
      <c r="O32" s="1">
        <v>25</v>
      </c>
      <c r="P32" s="1">
        <v>7.13</v>
      </c>
      <c r="Q32" s="1">
        <v>7.13</v>
      </c>
      <c r="R32" s="3">
        <f xml:space="preserve"> calculate_body_I(Table1[[#This Row],[body mass male]]/1000)</f>
        <v>1.9401022257727759E-6</v>
      </c>
      <c r="S32" s="3">
        <f>calculate_wing_I(Table1[[#This Row],[wing mass male]],Table1[[#This Row],[Wing length male]]/100)</f>
        <v>1.7007841431645716E-6</v>
      </c>
      <c r="T32" s="3">
        <f xml:space="preserve"> calculate_J(Table1[[#This Row],[wing mass male]],Table1[[#This Row],[Wing length male]] / 100)</f>
        <v>3.5119266055045881E-5</v>
      </c>
      <c r="U32" s="3">
        <f xml:space="preserve"> calculate_body_I(Table1[[#This Row],[body mass female]]/1000)</f>
        <v>1.9563128152277068E-6</v>
      </c>
      <c r="V32" s="3">
        <f xml:space="preserve"> calculate_J(Table1[[#This Row],[wing mass female]],Table1[[#This Row],[Wing length female]] / 100)</f>
        <v>3.5119266055045881E-5</v>
      </c>
      <c r="W32" s="3">
        <f>calculate_wing_I(Table1[[#This Row],[wing mass female]],Table1[[#This Row],[Wing length female]]/100)</f>
        <v>1.7007841431645716E-6</v>
      </c>
      <c r="X32" s="2">
        <v>1.57</v>
      </c>
      <c r="Y32" s="1">
        <v>17.3</v>
      </c>
      <c r="Z32" s="2">
        <f>calculate_body_Area(Table1[[#This Row],[body mass male]] / 1000)</f>
        <v>4.6000656259091645E-4</v>
      </c>
      <c r="AA32" s="2">
        <f>calculate_body_Area(Table1[[#This Row],[body mass female]] / 1000)</f>
        <v>4.6157718327410159E-4</v>
      </c>
      <c r="AC32" s="2">
        <f xml:space="preserve"> AC31 * SQRT(Table1[[#This Row],[Wingspan male]]  /  N31)</f>
        <v>7.491881822459248E-3</v>
      </c>
      <c r="AD32" s="4">
        <v>0.43</v>
      </c>
      <c r="AG32" s="2">
        <v>10.71</v>
      </c>
      <c r="AH32" s="2">
        <v>9.5299999999999994</v>
      </c>
      <c r="AK32" t="s">
        <v>98</v>
      </c>
    </row>
    <row r="33" spans="1:37" x14ac:dyDescent="0.25">
      <c r="A33">
        <v>32</v>
      </c>
      <c r="B33" t="s">
        <v>130</v>
      </c>
      <c r="C33" t="s">
        <v>131</v>
      </c>
      <c r="D33" t="s">
        <v>132</v>
      </c>
      <c r="E33" t="b">
        <v>0</v>
      </c>
      <c r="F33" s="1">
        <v>14.5</v>
      </c>
      <c r="G33" s="1">
        <v>15</v>
      </c>
      <c r="H33" s="1">
        <v>6.3000000000000003E-4</v>
      </c>
      <c r="I33" s="1">
        <v>6.3000000000000003E-4</v>
      </c>
      <c r="J33" s="1">
        <v>22.3</v>
      </c>
      <c r="K33" s="1">
        <v>22.3</v>
      </c>
      <c r="L33" s="1">
        <v>9</v>
      </c>
      <c r="M33" s="1">
        <v>9</v>
      </c>
      <c r="N33" s="1">
        <v>20</v>
      </c>
      <c r="O33" s="1">
        <v>20</v>
      </c>
      <c r="P33" s="1">
        <v>8.82</v>
      </c>
      <c r="Q33" s="1">
        <v>8.82</v>
      </c>
      <c r="R33" s="3">
        <f xml:space="preserve"> calculate_body_I(Table1[[#This Row],[body mass male]]/1000)</f>
        <v>1.1470950106474266E-6</v>
      </c>
      <c r="S33" s="3">
        <f>calculate_wing_I(Table1[[#This Row],[wing mass male]],Table1[[#This Row],[Wing length male]]/100)</f>
        <v>5.8636238532110102E-7</v>
      </c>
      <c r="T33" s="3">
        <f xml:space="preserve"> calculate_J(Table1[[#This Row],[wing mass male]],Table1[[#This Row],[Wing length male]] / 100)</f>
        <v>1.5605504587155967E-5</v>
      </c>
      <c r="U33" s="3">
        <f xml:space="preserve"> calculate_body_I(Table1[[#This Row],[body mass female]]/1000)</f>
        <v>1.2135006047562337E-6</v>
      </c>
      <c r="V33" s="3">
        <f xml:space="preserve"> calculate_J(Table1[[#This Row],[wing mass female]],Table1[[#This Row],[Wing length female]] / 100)</f>
        <v>1.5605504587155967E-5</v>
      </c>
      <c r="W33" s="3">
        <f>calculate_wing_I(Table1[[#This Row],[wing mass female]],Table1[[#This Row],[Wing length female]]/100)</f>
        <v>5.8636238532110102E-7</v>
      </c>
      <c r="X33" s="2">
        <v>1.57</v>
      </c>
      <c r="Y33" s="1">
        <v>27.4</v>
      </c>
      <c r="Z33" s="2">
        <f>calculate_body_Area(Table1[[#This Row],[body mass male]] / 1000)</f>
        <v>3.7091481234347414E-4</v>
      </c>
      <c r="AA33" s="2">
        <f>calculate_body_Area(Table1[[#This Row],[body mass female]] / 1000)</f>
        <v>3.7956485382556818E-4</v>
      </c>
      <c r="AC33" s="2">
        <f xml:space="preserve"> AC32 * SQRT(Table1[[#This Row],[Wingspan male]]  /  N32)</f>
        <v>6.7009428137655555E-3</v>
      </c>
      <c r="AD33" s="4">
        <v>0.43</v>
      </c>
      <c r="AG33" s="2">
        <v>11.45</v>
      </c>
      <c r="AH33" s="2">
        <v>8.8800000000000008</v>
      </c>
      <c r="AK33" t="s">
        <v>98</v>
      </c>
    </row>
    <row r="34" spans="1:37" x14ac:dyDescent="0.25">
      <c r="A34">
        <v>33</v>
      </c>
      <c r="B34" t="s">
        <v>133</v>
      </c>
      <c r="C34" t="s">
        <v>134</v>
      </c>
      <c r="D34" t="s">
        <v>135</v>
      </c>
      <c r="E34" t="b">
        <v>0</v>
      </c>
      <c r="F34" s="1">
        <v>15.1</v>
      </c>
      <c r="G34" s="1">
        <v>15</v>
      </c>
      <c r="H34" s="1">
        <v>6.4000000000000005E-4</v>
      </c>
      <c r="I34" s="1">
        <v>6.4000000000000005E-4</v>
      </c>
      <c r="J34" s="1">
        <v>15.7</v>
      </c>
      <c r="K34" s="1">
        <v>15.7</v>
      </c>
      <c r="L34" s="1">
        <v>10</v>
      </c>
      <c r="M34" s="1">
        <v>10</v>
      </c>
      <c r="N34" s="1"/>
      <c r="O34" s="1"/>
      <c r="P34" s="1">
        <v>2.17</v>
      </c>
      <c r="Q34" s="1">
        <v>2.17</v>
      </c>
      <c r="R34" s="3">
        <f xml:space="preserve"> calculate_body_I(Table1[[#This Row],[body mass male]]/1000)</f>
        <v>1.226959533870634E-6</v>
      </c>
      <c r="S34" s="3">
        <f>calculate_wing_I(Table1[[#This Row],[wing mass male]],Table1[[#This Row],[Wing length male]]/100)</f>
        <v>7.3539472193906477E-7</v>
      </c>
      <c r="T34" s="3">
        <f xml:space="preserve"> calculate_J(Table1[[#This Row],[wing mass male]],Table1[[#This Row],[Wing length male]] / 100)</f>
        <v>1.7614678899082575E-5</v>
      </c>
      <c r="U34" s="3">
        <f xml:space="preserve"> calculate_body_I(Table1[[#This Row],[body mass female]]/1000)</f>
        <v>1.2135006047562337E-6</v>
      </c>
      <c r="V34" s="3">
        <f xml:space="preserve"> calculate_J(Table1[[#This Row],[wing mass female]],Table1[[#This Row],[Wing length female]] / 100)</f>
        <v>1.7614678899082575E-5</v>
      </c>
      <c r="W34" s="3">
        <f>calculate_wing_I(Table1[[#This Row],[wing mass female]],Table1[[#This Row],[Wing length female]]/100)</f>
        <v>7.3539472193906477E-7</v>
      </c>
      <c r="X34" s="2">
        <v>1.57</v>
      </c>
      <c r="Z34" s="2">
        <f>calculate_body_Area(Table1[[#This Row],[body mass male]] / 1000)</f>
        <v>3.8128371778577434E-4</v>
      </c>
      <c r="AA34" s="2">
        <f>calculate_body_Area(Table1[[#This Row],[body mass female]] / 1000)</f>
        <v>3.7956485382556818E-4</v>
      </c>
      <c r="AC34" s="2">
        <f xml:space="preserve"> AC33 * SQRT(Table1[[#This Row],[Wingspan male]]  /  N33)</f>
        <v>0</v>
      </c>
      <c r="AD34" s="4">
        <v>0.43</v>
      </c>
      <c r="AG34" s="2">
        <v>10.38</v>
      </c>
      <c r="AH34" s="2">
        <v>9.15</v>
      </c>
      <c r="AK34" t="s">
        <v>98</v>
      </c>
    </row>
    <row r="35" spans="1:37" x14ac:dyDescent="0.25">
      <c r="A35">
        <v>34</v>
      </c>
      <c r="B35" t="s">
        <v>136</v>
      </c>
      <c r="C35" t="s">
        <v>137</v>
      </c>
      <c r="D35" t="s">
        <v>138</v>
      </c>
      <c r="E35" t="b">
        <v>0</v>
      </c>
      <c r="F35" s="1">
        <v>70</v>
      </c>
      <c r="G35" s="1">
        <v>70</v>
      </c>
      <c r="H35" s="1">
        <v>3.7000000000000002E-3</v>
      </c>
      <c r="I35" s="1">
        <v>3.7000000000000002E-3</v>
      </c>
      <c r="J35" s="1">
        <v>23.5</v>
      </c>
      <c r="K35" s="1">
        <v>23.5</v>
      </c>
      <c r="L35" s="1">
        <v>18.5</v>
      </c>
      <c r="M35" s="1">
        <v>18.5</v>
      </c>
      <c r="N35" s="1">
        <v>39</v>
      </c>
      <c r="O35" s="1">
        <v>39</v>
      </c>
      <c r="P35" s="1">
        <v>8.07</v>
      </c>
      <c r="Q35" s="1">
        <v>8.07</v>
      </c>
      <c r="R35" s="3">
        <f xml:space="preserve"> calculate_body_I(Table1[[#This Row],[body mass male]]/1000)</f>
        <v>1.5652771790434169E-5</v>
      </c>
      <c r="S35" s="3">
        <f>calculate_wing_I(Table1[[#This Row],[wing mass male]],Table1[[#This Row],[Wing length male]]/100)</f>
        <v>1.4550761269679467E-5</v>
      </c>
      <c r="T35" s="2">
        <v>1.52752E-4</v>
      </c>
      <c r="U35" s="3">
        <f xml:space="preserve"> calculate_body_I(Table1[[#This Row],[body mass female]]/1000)</f>
        <v>1.5652771790434169E-5</v>
      </c>
      <c r="V35" s="3">
        <f xml:space="preserve"> calculate_J(Table1[[#This Row],[wing mass female]],Table1[[#This Row],[Wing length female]] / 100)</f>
        <v>1.8839449541284409E-4</v>
      </c>
      <c r="W35" s="3">
        <f>calculate_wing_I(Table1[[#This Row],[wing mass female]],Table1[[#This Row],[Wing length female]]/100)</f>
        <v>1.4550761269679467E-5</v>
      </c>
      <c r="X35" s="2">
        <v>1.57</v>
      </c>
      <c r="Y35" s="1">
        <v>10.5</v>
      </c>
      <c r="Z35" s="2">
        <f>calculate_body_Area(Table1[[#This Row],[body mass male]] / 1000)</f>
        <v>1.0819584990562135E-3</v>
      </c>
      <c r="AA35" s="2">
        <f>calculate_body_Area(Table1[[#This Row],[body mass female]] / 1000)</f>
        <v>1.0819584990562135E-3</v>
      </c>
      <c r="AB35">
        <v>40</v>
      </c>
      <c r="AC35" s="2">
        <f xml:space="preserve"> AC2 * SQRT(Table1[[#This Row],[Wingspan male]]  /  N2)</f>
        <v>9.3573573970990691E-3</v>
      </c>
      <c r="AD35" s="1">
        <v>0.41</v>
      </c>
      <c r="AE35" s="1">
        <v>6.2</v>
      </c>
      <c r="AF35">
        <v>6.2</v>
      </c>
      <c r="AG35" s="2">
        <v>11.62</v>
      </c>
      <c r="AH35" s="2">
        <v>10.87</v>
      </c>
      <c r="AK35" t="s">
        <v>98</v>
      </c>
    </row>
    <row r="36" spans="1:37" x14ac:dyDescent="0.25">
      <c r="A36">
        <v>35</v>
      </c>
      <c r="B36" t="s">
        <v>139</v>
      </c>
      <c r="C36" t="s">
        <v>140</v>
      </c>
      <c r="D36" t="s">
        <v>141</v>
      </c>
      <c r="E36" t="b">
        <v>0</v>
      </c>
      <c r="F36" s="1">
        <v>328</v>
      </c>
      <c r="G36" s="1">
        <v>328</v>
      </c>
      <c r="H36" s="1">
        <v>2.878E-2</v>
      </c>
      <c r="I36" s="1">
        <v>2.878E-2</v>
      </c>
      <c r="J36" s="1">
        <v>38.299999999999997</v>
      </c>
      <c r="K36" s="1">
        <v>38.299999999999997</v>
      </c>
      <c r="L36" s="1">
        <v>38.9</v>
      </c>
      <c r="M36" s="1">
        <v>38.9</v>
      </c>
      <c r="N36" s="1">
        <v>80</v>
      </c>
      <c r="O36" s="1">
        <v>80</v>
      </c>
      <c r="P36" s="1">
        <v>9.64</v>
      </c>
      <c r="Q36" s="1">
        <v>9.64</v>
      </c>
      <c r="R36" s="3">
        <f xml:space="preserve"> calculate_body_I(Table1[[#This Row],[body mass male]]/1000)</f>
        <v>2.0327271490415083E-4</v>
      </c>
      <c r="S36" s="3">
        <f>calculate_wing_I(Table1[[#This Row],[wing mass male]],Table1[[#This Row],[Wing length male]]/100)</f>
        <v>5.004152391561899E-4</v>
      </c>
      <c r="T36" s="2">
        <v>1.52752E-4</v>
      </c>
      <c r="U36" s="3">
        <f xml:space="preserve"> calculate_body_I(Table1[[#This Row],[body mass female]]/1000)</f>
        <v>2.0327271490415083E-4</v>
      </c>
      <c r="V36" s="3">
        <f xml:space="preserve"> calculate_J(Table1[[#This Row],[wing mass female]],Table1[[#This Row],[Wing length female]] / 100)</f>
        <v>3.0813082568807346E-3</v>
      </c>
      <c r="W36" s="3">
        <f>calculate_wing_I(Table1[[#This Row],[wing mass female]],Table1[[#This Row],[Wing length female]]/100)</f>
        <v>5.004152391561899E-4</v>
      </c>
      <c r="X36" s="2">
        <v>1.57</v>
      </c>
      <c r="Y36" s="1">
        <v>3.97</v>
      </c>
      <c r="Z36" s="2">
        <f>calculate_body_Area(Table1[[#This Row],[body mass male]] / 1000)</f>
        <v>3.0927025274712404E-3</v>
      </c>
      <c r="AA36" s="2">
        <f>calculate_body_Area(Table1[[#This Row],[body mass female]] / 1000)</f>
        <v>3.0927025274712404E-3</v>
      </c>
      <c r="AC36" s="2">
        <f xml:space="preserve"> AC3 * SQRT(Table1[[#This Row],[Wingspan male]]  /  N3)</f>
        <v>1.3401885627531113E-2</v>
      </c>
      <c r="AD36" s="4">
        <v>0.43</v>
      </c>
      <c r="AG36" s="2">
        <v>13.32</v>
      </c>
      <c r="AH36" s="2">
        <v>13.38</v>
      </c>
      <c r="AK36" t="s">
        <v>98</v>
      </c>
    </row>
    <row r="37" spans="1:37" x14ac:dyDescent="0.25">
      <c r="A37">
        <v>36</v>
      </c>
      <c r="E37" t="b">
        <v>0</v>
      </c>
      <c r="F37" s="1"/>
      <c r="G37" s="1"/>
    </row>
    <row r="38" spans="1:37" x14ac:dyDescent="0.25">
      <c r="A38">
        <v>37</v>
      </c>
      <c r="E38" t="b">
        <v>0</v>
      </c>
      <c r="F38" s="1"/>
      <c r="G38" s="1"/>
      <c r="AG38">
        <v>0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bird_properties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</dc:creator>
  <cp:lastModifiedBy>Robin</cp:lastModifiedBy>
  <dcterms:created xsi:type="dcterms:W3CDTF">2016-03-03T10:24:19Z</dcterms:created>
  <dcterms:modified xsi:type="dcterms:W3CDTF">2016-03-16T09:15:13Z</dcterms:modified>
</cp:coreProperties>
</file>